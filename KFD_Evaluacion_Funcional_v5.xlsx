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PACIENTE" sheetId="2" r:id="rId6"/>
    <sheet state="visible" name="CONTROL MOTOR" sheetId="3" r:id="rId7"/>
    <sheet state="visible" name="MOVILIDAD" sheetId="4" r:id="rId8"/>
    <sheet state="visible" name="SALTOS VERTICALES" sheetId="5" r:id="rId9"/>
    <sheet state="visible" name="HOP TESTS" sheetId="6" r:id="rId10"/>
    <sheet state="visible" name="FUERZA" sheetId="7" r:id="rId11"/>
    <sheet state="visible" name="RESUMEN" sheetId="8" r:id="rId12"/>
  </sheets>
  <definedNames>
    <definedName name="DJ_MODE">PACIENTE!$C$14</definedName>
    <definedName name="PESO_KG">PACIENTE!$C$11</definedName>
    <definedName name="ALTURA_CM">PACIENTE!$F$11</definedName>
    <definedName name="SEXO">PACIENTE!$F$8</definedName>
    <definedName name="PERFIL">PACIENTE!$C$9</definedName>
    <definedName name="BATERIA">PACIENTE!$C$15</definedName>
  </definedNames>
  <calcPr/>
</workbook>
</file>

<file path=xl/sharedStrings.xml><?xml version="1.0" encoding="utf-8"?>
<sst xmlns="http://schemas.openxmlformats.org/spreadsheetml/2006/main" count="362" uniqueCount="248">
  <si>
    <t>UMBRALES CLÍNICOS  ·  Editables por contexto</t>
  </si>
  <si>
    <t>Todos los colores automáticos de la planilla se basan en estos umbrales  ·  Fuente bibliográfica en columna H</t>
  </si>
  <si>
    <t>● Excelente</t>
  </si>
  <si>
    <t>● Bueno</t>
  </si>
  <si>
    <t>● Regular</t>
  </si>
  <si>
    <t>● Déficit</t>
  </si>
  <si>
    <t>INDICADOR</t>
  </si>
  <si>
    <t>🟢 Excelente</t>
  </si>
  <si>
    <t>🟡 Bueno</t>
  </si>
  <si>
    <t>🟠 Regular</t>
  </si>
  <si>
    <t>🔴 Déficit</t>
  </si>
  <si>
    <t>Fuente bibliográfica / Notas clínicas</t>
  </si>
  <si>
    <t>ASIMETRÍA ENTRE MIEMBROS  ( % diferencia )  ·  igual para todos los perfiles</t>
  </si>
  <si>
    <t>Fuerza – Cuádriceps / Isquios</t>
  </si>
  <si>
    <t>&lt;10%</t>
  </si>
  <si>
    <t>10–15%</t>
  </si>
  <si>
    <t>15–20%</t>
  </si>
  <si>
    <t>&lt; umbral naranja</t>
  </si>
  <si>
    <t>Barber et al. 1990; Noyes et al. 1991  ·  No varía por perfil: el déficit es déficit</t>
  </si>
  <si>
    <t>Saltos – asimetría D/I (Drop Jump)</t>
  </si>
  <si>
    <t>Reid et al. 2007; Schmitt et al. 2012</t>
  </si>
  <si>
    <t>LSI – LIMB SYMMETRY INDEX  ( Hop Tests )  ·  igual para todos los perfiles</t>
  </si>
  <si>
    <t>Single Hop / Side Hop / Medial Rotation</t>
  </si>
  <si>
    <t>≥90%</t>
  </si>
  <si>
    <t>85–90%</t>
  </si>
  <si>
    <t>80–85%</t>
  </si>
  <si>
    <t>Barber et al. 1990; Kyritsis et al. 2016  ·  Criterio retorno al deporte: ≥90%</t>
  </si>
  <si>
    <t>CMJ / SJ BIPODAL  –  Relación (CMJ−SJ)/SJ × 100  ·  Aprovechamiento CEA</t>
  </si>
  <si>
    <t>Población General</t>
  </si>
  <si>
    <t>&gt;10%</t>
  </si>
  <si>
    <t>5–10%</t>
  </si>
  <si>
    <t>2–5%</t>
  </si>
  <si>
    <t>Bosco et al. 1983; Komi &amp; Bosco 1978</t>
  </si>
  <si>
    <t xml:space="preserve">    Deportista</t>
  </si>
  <si>
    <t>&gt;15%</t>
  </si>
  <si>
    <t>En deportistas explosivos se espera mayor aprovechamiento del CEA  ·  Schmidtbleicher 1992</t>
  </si>
  <si>
    <t>ÍNDICE Q – DROP JUMP  ( T.vuelo / T.contacto )</t>
  </si>
  <si>
    <t>&gt;1.20</t>
  </si>
  <si>
    <t>1.00–1.20</t>
  </si>
  <si>
    <t>0.80–1.00</t>
  </si>
  <si>
    <t>Flanagan &amp; Comyns 2008; Young et al. 1995</t>
  </si>
  <si>
    <t>&gt;1.50</t>
  </si>
  <si>
    <t>1.20–1.50</t>
  </si>
  <si>
    <t>Deportistas élite: &gt;1.5  ·  Reflexive Strength Index (RSI) = Índice Q</t>
  </si>
  <si>
    <t>H/Q RATIO  ·  Isométrico a 90° de flexión  ·  Diferenciado por sexo y perfil</t>
  </si>
  <si>
    <t>Masculino – Población General</t>
  </si>
  <si>
    <t>&gt;0.60</t>
  </si>
  <si>
    <t>0.50–0.60</t>
  </si>
  <si>
    <t>0.45–0.50</t>
  </si>
  <si>
    <t>Aagaard et al. 1998  ·  Isométrico 90°: umbral operativo ~0.50–0.55 (vs 0.60 isocinético)</t>
  </si>
  <si>
    <t xml:space="preserve">    Masculino – Deportista</t>
  </si>
  <si>
    <t>&gt;0.65</t>
  </si>
  <si>
    <t>0.55–0.65</t>
  </si>
  <si>
    <t>0.50–0.55</t>
  </si>
  <si>
    <t>H/Q alto = mayor frenado excéntrico + protección rodilla  ·  Croisier et al. 2008</t>
  </si>
  <si>
    <t>Femenino – Población General</t>
  </si>
  <si>
    <t>&gt;0.55</t>
  </si>
  <si>
    <t>0.45–0.55</t>
  </si>
  <si>
    <t>0.40–0.45</t>
  </si>
  <si>
    <t>Menor masa isquiotibial relativa en mujeres  ·  Croisier et al. 2008</t>
  </si>
  <si>
    <t xml:space="preserve">    Femenino – Deportista</t>
  </si>
  <si>
    <t>Deportistas femeninas de élite se acercan a valores masculinos  ·  Referencia clínica</t>
  </si>
  <si>
    <t>⚠️  NOTA ISOMÉTRICO 90°:  Los valores de H/Q del 60%+ corresponden a isocinético donde el isquio tiene ventaja mecánica. En isométrico sentado a 90°, el isquio trabaja en desventaja real. Un H/Q de 50–55% es funcionalmente aceptable; el umbral excelente (&gt;60%) es meta a largo plazo.</t>
  </si>
  <si>
    <t>FUERZA RELATIVA AL PESO  ( kg / kg )  ·  Isométrica  ·  Diferenciada por sexo y perfil</t>
  </si>
  <si>
    <t>Cuádriceps – Masculino – Pob. General</t>
  </si>
  <si>
    <t>&gt;2.5</t>
  </si>
  <si>
    <t>2.0–2.5</t>
  </si>
  <si>
    <t>1.5–2.0</t>
  </si>
  <si>
    <t>Bohannon 1997  ·  Ajustado a setup isométrico sentado</t>
  </si>
  <si>
    <t xml:space="preserve">    Cuádriceps – Masculino – Deportista</t>
  </si>
  <si>
    <t>&gt;3.0</t>
  </si>
  <si>
    <t>2.5–3.0</t>
  </si>
  <si>
    <t>Deportistas: mayor fuerza relativa esperada  ·  Referencia orientativa</t>
  </si>
  <si>
    <t>Cuádriceps – Femenino – Pob. General</t>
  </si>
  <si>
    <t>&gt;2.0</t>
  </si>
  <si>
    <t>1.6–2.0</t>
  </si>
  <si>
    <t>1.2–1.6</t>
  </si>
  <si>
    <t>~75–80% fuerza relativa masculina  ·  Edades 18–35</t>
  </si>
  <si>
    <t xml:space="preserve">    Cuádriceps – Femenino – Deportista</t>
  </si>
  <si>
    <t>Deportistas femeninas se acercan a valores masculinos generales</t>
  </si>
  <si>
    <t>HOP NORMALIZADO POR ALTURA  ( cm / cm )  ·  Diferenciado por perfil</t>
  </si>
  <si>
    <t>Single Hop / Altura – Población General</t>
  </si>
  <si>
    <t>&gt;1.00</t>
  </si>
  <si>
    <t>0.85–1.00</t>
  </si>
  <si>
    <t>0.70–0.85</t>
  </si>
  <si>
    <t>Gustavsson et al. 2006  ·  Referencia clínica orientativa</t>
  </si>
  <si>
    <t xml:space="preserve">    Single Hop / Altura – Deportista</t>
  </si>
  <si>
    <t>Deportistas: mayor producción horizontal de fuerza relativa a la talla</t>
  </si>
  <si>
    <t>💡  Verde = meta funcional, no norma absoluta. En pacientes postquirúrgicos, el objetivo inicial es salir del rojo. Construir percentiles propios con datos acumulados del protocolo.</t>
  </si>
  <si>
    <t>EVALUACIÓN FUNCIONAL  ·  KFD</t>
  </si>
  <si>
    <t>Kinesiología &amp; Rendimiento Deportivo</t>
  </si>
  <si>
    <t>DATOS DEL PACIENTE</t>
  </si>
  <si>
    <t>Nombre completo</t>
  </si>
  <si>
    <t>Fecha de evaluación</t>
  </si>
  <si>
    <t>Fecha de nacimiento</t>
  </si>
  <si>
    <t>N° de evaluación</t>
  </si>
  <si>
    <t>Edad (años)</t>
  </si>
  <si>
    <t>Sexo biológico</t>
  </si>
  <si>
    <t>Perfil</t>
  </si>
  <si>
    <t>Nivel competitivo</t>
  </si>
  <si>
    <t>Diagnóstico (Dx)</t>
  </si>
  <si>
    <t>Miembro dominante</t>
  </si>
  <si>
    <t>Peso corporal (kg)</t>
  </si>
  <si>
    <t>Altura (cm)</t>
  </si>
  <si>
    <t>CONFIGURACIÓN DE EVALUACIÓN</t>
  </si>
  <si>
    <t>Drop Jump – modalidad:</t>
  </si>
  <si>
    <t>Unipodal</t>
  </si>
  <si>
    <t>Unipodal = I/D  ·  Bipodal = B1/B2  (ej. pacientes con sobrepeso significativo)</t>
  </si>
  <si>
    <t>Batería Hop Test:</t>
  </si>
  <si>
    <t>Completa</t>
  </si>
  <si>
    <t>Reducida: Solo Single Hop  (sin Triple ni Side Hop  ·  priorizar movilidad/fuerza)</t>
  </si>
  <si>
    <t>H/Q activo:</t>
  </si>
  <si>
    <t>CEA activo:</t>
  </si>
  <si>
    <t>Índice Q activo:</t>
  </si>
  <si>
    <t>Los umbrales se ajustan automáticamente al cambiar Sexo (F8) y Perfil (C9). Ver hoja CONFIG para detalle bibliográfico de cada umbral.</t>
  </si>
  <si>
    <t>CONTROL MOTOR  ·  Pruebas Funcionales</t>
  </si>
  <si>
    <t>Escala 0–3  ·  0 = dolor (detener protocolo)  ·  Unilaterales: registrar D / I por separado</t>
  </si>
  <si>
    <t>3 – Patrón óptimo</t>
  </si>
  <si>
    <t>2 – Compensación leve</t>
  </si>
  <si>
    <t>1 – Compensa / no puede</t>
  </si>
  <si>
    <t>0 – Dolor</t>
  </si>
  <si>
    <t>TEST</t>
  </si>
  <si>
    <t>Eval. 1</t>
  </si>
  <si>
    <t>Eval. 2</t>
  </si>
  <si>
    <t>Eval. 3</t>
  </si>
  <si>
    <t>Observaciones clínicas  (compensaciones, dolor, estrategias)</t>
  </si>
  <si>
    <t>BILATERALES</t>
  </si>
  <si>
    <t>Sentadilla Overhead (OHST)</t>
  </si>
  <si>
    <t>Push-Up – Estabilidad de Tronco</t>
  </si>
  <si>
    <t>UNILATERALES  ·  D / I  (Derecha / Izquierda)</t>
  </si>
  <si>
    <t>Eval. 1  D / I</t>
  </si>
  <si>
    <t>Eval. 2  D / I</t>
  </si>
  <si>
    <t>Eval. 3  D / I</t>
  </si>
  <si>
    <t>Sentadilla Unipodal</t>
  </si>
  <si>
    <t>Movilidad de Hombro</t>
  </si>
  <si>
    <t>Elevación Activa de Pierna Recta</t>
  </si>
  <si>
    <t>Estabilidad Rotatoria</t>
  </si>
  <si>
    <t>Unilaterales: registrar puntaje de cada lado (ej: '2 / 3' = D2 I3).  Puntaje 0 (dolor) → detener el test antes de continuar.</t>
  </si>
  <si>
    <t>MOVILIDAD  ·  Flexibilidad Pasiva y Activa</t>
  </si>
  <si>
    <t>🟢 Rangos completos  ·  🟡 Restricción leve  ·  🟠 Restricción moderada  ·  🔴 Restricción significativa</t>
  </si>
  <si>
    <t>EVALUACIÓN 1</t>
  </si>
  <si>
    <t>EVALUACIÓN 2</t>
  </si>
  <si>
    <t>EVALUACIÓN 3</t>
  </si>
  <si>
    <t>Referencia clínica</t>
  </si>
  <si>
    <t>D</t>
  </si>
  <si>
    <t>I</t>
  </si>
  <si>
    <t>MOVILIDAD PASIVA</t>
  </si>
  <si>
    <t>Cadena posterior (cm)</t>
  </si>
  <si>
    <t>Sin déficit bilateral</t>
  </si>
  <si>
    <t>Pasiva de Isquiotibiales (°)</t>
  </si>
  <si>
    <t>≥ 80°</t>
  </si>
  <si>
    <t>Rotación Interna de Cadera (°)</t>
  </si>
  <si>
    <t>≥ 35°</t>
  </si>
  <si>
    <t>Test de Thomas – Psoas</t>
  </si>
  <si>
    <t>Negativo / 0°</t>
  </si>
  <si>
    <t>Test de Thomas – TFL</t>
  </si>
  <si>
    <t>Test de Thomas – Recto Anterior</t>
  </si>
  <si>
    <t>MOVILIDAD ACTIVA</t>
  </si>
  <si>
    <t>Simétrico</t>
  </si>
  <si>
    <t>Elevación Activa de Pierna Recta (°)</t>
  </si>
  <si>
    <t>≥ 70°</t>
  </si>
  <si>
    <t>SALTOS VERTICALES  ·  SJ  ·  CMJ  ·  Drop Jump</t>
  </si>
  <si>
    <t>SJ / CMJ: siempre bipodal – mejor de 3 intentos  ·  Drop Jump: ver modalidad en PACIENTE C14</t>
  </si>
  <si>
    <t>TEST / VARIABLE</t>
  </si>
  <si>
    <t>Referencia</t>
  </si>
  <si>
    <t>Valor (ms)</t>
  </si>
  <si>
    <t>Calc.</t>
  </si>
  <si>
    <t>—</t>
  </si>
  <si>
    <t>SJ &amp; CMJ  –  BIPODAL  ·  Tiempo de vuelo (ms)  ·  Mejor de 3 intentos</t>
  </si>
  <si>
    <t>CMJ  (Countermovement Jump)</t>
  </si>
  <si>
    <t>Mejor de 3 intentos · Bipodal siempre</t>
  </si>
  <si>
    <t>SJ  (Squat Jump)</t>
  </si>
  <si>
    <t>Relación CMJ / SJ  ( aprovechamiento CEA )</t>
  </si>
  <si>
    <t>T. de contacto (ms)</t>
  </si>
  <si>
    <t>T. de vuelo (ms)</t>
  </si>
  <si>
    <t>Índice Q  ( T.vuelo / T.contacto )</t>
  </si>
  <si>
    <t>HOP TESTS  ·  Saltos Horizontales  ·  Unipodal</t>
  </si>
  <si>
    <t>LSI = menor/mayor × 100  ·  Tests ⊘ solo en batería completa  ·  Batería: PACIENTE C15</t>
  </si>
  <si>
    <t>Ref.</t>
  </si>
  <si>
    <t>I (cm)</t>
  </si>
  <si>
    <t>D (cm)</t>
  </si>
  <si>
    <t>LSI %</t>
  </si>
  <si>
    <t>Single Hop (cm)</t>
  </si>
  <si>
    <t>≥90% LSI</t>
  </si>
  <si>
    <t>Triple Hop (cm)  ⊘ batería completa</t>
  </si>
  <si>
    <t>Medial Rotation Hop (cm)  ⊘ batería completa</t>
  </si>
  <si>
    <t>Side Hop  (rep. hasta fatiga)  ⊘ batería completa</t>
  </si>
  <si>
    <t>Simetría</t>
  </si>
  <si>
    <t>NORMALIZACIÓN POR ALTURA  ( cm / cm )  ·  Umbrales según Perfil</t>
  </si>
  <si>
    <t>Single Hop / Altura</t>
  </si>
  <si>
    <t>Triple Hop / Altura</t>
  </si>
  <si>
    <t>FUERZA ISOMÉTRICA  ·  Cuádriceps &amp; Isquiotibioperoneos  ·  Sentado 90°</t>
  </si>
  <si>
    <t>Asimetría: igual para todos los perfiles  ·  H/Q y fuerza relativa: según Sexo y Perfil (PACIENTE F8 / C9)</t>
  </si>
  <si>
    <t>GRUPO MUSCULAR</t>
  </si>
  <si>
    <t>I (kg)</t>
  </si>
  <si>
    <t>D (kg)</t>
  </si>
  <si>
    <t>Dif %</t>
  </si>
  <si>
    <t>FUERZA ISOMÉTRICA MÁXIMA  ( Sentado, rodilla 90° )</t>
  </si>
  <si>
    <t>Cuádriceps (kg)</t>
  </si>
  <si>
    <t>&lt;10% simetría óptima  ·  mismos umbrales todos los perfiles</t>
  </si>
  <si>
    <t>Isquiotibioperoneos (kg)</t>
  </si>
  <si>
    <t>RELACIÓN  H/Q  ( Isquios / Cuádriceps )  ·  Umbrales según Sexo y Perfil</t>
  </si>
  <si>
    <t>Ratio H/Q  ( Isquios / Cuáds )</t>
  </si>
  <si>
    <t>FUERZA RELATIVA  ( kg / Peso corporal )  ·  Según Sexo y Perfil</t>
  </si>
  <si>
    <t>Cuádriceps / Peso  (kg·kg⁻¹)</t>
  </si>
  <si>
    <t>Isquios / Peso  (kg·kg⁻¹)</t>
  </si>
  <si>
    <t>RESUMEN EJECUTIVO  ·  Evolución de Indicadores</t>
  </si>
  <si>
    <t>Vincular con = desde las hojas individuales  ·  Los colores se aplican al vincular</t>
  </si>
  <si>
    <t>Umbral activo / Interpretación</t>
  </si>
  <si>
    <t>CONTROL MOTOR</t>
  </si>
  <si>
    <t>Sentadilla Overhead  (OHST)</t>
  </si>
  <si>
    <t>0–3</t>
  </si>
  <si>
    <t>Sentadilla Unipodal  (menor D/I)</t>
  </si>
  <si>
    <t>Elevación Activa de Pierna  (menor D/I)</t>
  </si>
  <si>
    <t>SALTOS VERTICALES</t>
  </si>
  <si>
    <t>Relación CMJ/SJ – CEA  (%)</t>
  </si>
  <si>
    <t>Índice Q Drop Jump  I</t>
  </si>
  <si>
    <t>Índice Q Drop Jump  D</t>
  </si>
  <si>
    <t>Asimetría Drop Jump  (%)</t>
  </si>
  <si>
    <t>&lt;10% 🟢</t>
  </si>
  <si>
    <t>HOP TESTS</t>
  </si>
  <si>
    <t>LSI Single Hop (%)</t>
  </si>
  <si>
    <t>≥90% 🟢</t>
  </si>
  <si>
    <t>LSI Triple Hop (%)</t>
  </si>
  <si>
    <t>Single Hop / Altura  I</t>
  </si>
  <si>
    <t>Single Hop / Altura  D</t>
  </si>
  <si>
    <t>FUERZA</t>
  </si>
  <si>
    <t>Asimetría Cuádriceps (%)</t>
  </si>
  <si>
    <t>Asimetría Isquios (%)</t>
  </si>
  <si>
    <t>H/Q  Izquierda</t>
  </si>
  <si>
    <t>H/Q  Derecha</t>
  </si>
  <si>
    <t>Cuáds / Peso  I  (kg/kg)</t>
  </si>
  <si>
    <t>Ver CONFIG</t>
  </si>
  <si>
    <t>Cuáds / Peso  D  (kg/kg)</t>
  </si>
  <si>
    <t>SEMÁFORO  ·  Prioridades por Área de Intervención</t>
  </si>
  <si>
    <t>🏃  Control Motor</t>
  </si>
  <si>
    <t>Prioridad:</t>
  </si>
  <si>
    <t>Estado general CM  ·  0–3 por test</t>
  </si>
  <si>
    <t>📐  Movilidad</t>
  </si>
  <si>
    <t>Restricciones pasivas / activas</t>
  </si>
  <si>
    <t>💪  Fuerza</t>
  </si>
  <si>
    <t>Asimetría + H/Q + fuerza relativa</t>
  </si>
  <si>
    <t>⬆️  Saltos Verticales</t>
  </si>
  <si>
    <t>CMJ/SJ CEA + Índice Q + asimetría DJ</t>
  </si>
  <si>
    <t>↔️  Hop Tests</t>
  </si>
  <si>
    <t>LSI + normalización por altura</t>
  </si>
  <si>
    <t>OBSERVACIONES GENERALES / PLAN DE INTERVENCIÓN</t>
  </si>
  <si>
    <t>Tip: vincular celdas del resumen con = a las calculadas en cada hoja. El semáforo y la prioridad se rellenan manualmente tras la interpretación clínica.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</si>
</sst>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8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8.0"/>
      <color rgb="FFFFFFFF"/>
      <name val="Calibri"/>
    </font>
    <font>
      <b/>
      <sz val="8.0"/>
      <color rgb="FF14532D"/>
      <name val="Calibri"/>
    </font>
    <font>
      <b/>
      <sz val="8.0"/>
      <color rgb="FF713F12"/>
      <name val="Calibri"/>
    </font>
    <font>
      <b/>
      <sz val="8.0"/>
      <color rgb="FF7C2D12"/>
      <name val="Calibri"/>
    </font>
    <font>
      <b/>
      <sz val="8.0"/>
      <color rgb="FF7F1D1D"/>
      <name val="Calibri"/>
    </font>
    <font>
      <b/>
      <sz val="9.0"/>
      <color rgb="FFFFFFFF"/>
      <name val="Calibri"/>
    </font>
    <font>
      <b/>
      <sz val="9.0"/>
      <color rgb="FF14532D"/>
      <name val="Calibri"/>
    </font>
    <font>
      <b/>
      <sz val="9.0"/>
      <color rgb="FF713F12"/>
      <name val="Calibri"/>
    </font>
    <font>
      <b/>
      <sz val="9.0"/>
      <color rgb="FF7C2D12"/>
      <name val="Calibri"/>
    </font>
    <font>
      <b/>
      <sz val="9.0"/>
      <color rgb="FF7F1D1D"/>
      <name val="Calibri"/>
    </font>
    <font>
      <sz val="9.0"/>
      <color rgb="FF0D1B2A"/>
      <name val="Calibri"/>
    </font>
    <font>
      <b/>
      <sz val="10.0"/>
      <color rgb="FF14532D"/>
      <name val="Calibri"/>
    </font>
    <font>
      <b/>
      <sz val="10.0"/>
      <color rgb="FF713F12"/>
      <name val="Calibri"/>
    </font>
    <font>
      <b/>
      <sz val="10.0"/>
      <color rgb="FF7C2D12"/>
      <name val="Calibri"/>
    </font>
    <font>
      <b/>
      <sz val="10.0"/>
      <color rgb="FF7F1D1D"/>
      <name val="Calibri"/>
    </font>
    <font>
      <sz val="9.0"/>
      <color rgb="FF64748B"/>
      <name val="Calibri"/>
    </font>
    <font>
      <i/>
      <sz val="8.0"/>
      <color rgb="FF64748B"/>
      <name val="Calibri"/>
    </font>
    <font>
      <b/>
      <sz val="16.0"/>
      <color rgb="FFFFFFFF"/>
      <name val="Calibri"/>
    </font>
    <font>
      <sz val="9.0"/>
      <color rgb="FFFFFFFF"/>
      <name val="Calibri"/>
    </font>
    <font>
      <b/>
      <sz val="9.0"/>
      <color rgb="FF0D1B2A"/>
      <name val="Calibri"/>
    </font>
    <font>
      <sz val="10.0"/>
      <color rgb="FF0D1B2A"/>
      <name val="Calibri"/>
    </font>
    <font>
      <b/>
      <sz val="8.0"/>
      <color rgb="FF0D1B2A"/>
      <name val="Calibri"/>
    </font>
    <font>
      <i/>
      <sz val="9.0"/>
      <color rgb="FF64748B"/>
      <name val="Calibri"/>
    </font>
    <font>
      <b/>
      <sz val="10.0"/>
      <color rgb="FF0D1B2A"/>
      <name val="Calibri"/>
    </font>
    <font>
      <i/>
      <sz val="9.0"/>
      <color rgb="FF0D1B2A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0EA5E9"/>
        <bgColor rgb="FF0EA5E9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FFEDD5"/>
        <bgColor rgb="FFFFEDD5"/>
      </patternFill>
    </fill>
    <fill>
      <patternFill patternType="solid">
        <fgColor rgb="FFFEE2E2"/>
        <bgColor rgb="FFFEE2E2"/>
      </patternFill>
    </fill>
    <fill>
      <patternFill patternType="solid">
        <fgColor rgb="FF1B3A5C"/>
        <bgColor rgb="FF1B3A5C"/>
      </patternFill>
    </fill>
    <fill>
      <patternFill patternType="solid">
        <fgColor rgb="FF1E3A5F"/>
        <bgColor rgb="FF1E3A5F"/>
      </patternFill>
    </fill>
    <fill>
      <patternFill patternType="solid">
        <fgColor rgb="FFF0F7FF"/>
        <bgColor rgb="FFF0F7FF"/>
      </patternFill>
    </fill>
    <fill>
      <patternFill patternType="solid">
        <fgColor rgb="FFFAFAFA"/>
        <bgColor rgb="FFFAFAFA"/>
      </patternFill>
    </fill>
    <fill>
      <patternFill patternType="solid">
        <fgColor rgb="FFFAFEFF"/>
        <bgColor rgb="FFFAFEFF"/>
      </patternFill>
    </fill>
    <fill>
      <patternFill patternType="solid">
        <fgColor rgb="FFDDE9F5"/>
        <bgColor rgb="FFDDE9F5"/>
      </patternFill>
    </fill>
    <fill>
      <patternFill patternType="solid">
        <fgColor rgb="FFF8FBFF"/>
        <bgColor rgb="FFF8FBFF"/>
      </patternFill>
    </fill>
    <fill>
      <patternFill patternType="solid">
        <fgColor rgb="FF0F4C81"/>
        <bgColor rgb="FF0F4C81"/>
      </patternFill>
    </fill>
    <fill>
      <patternFill patternType="solid">
        <fgColor rgb="FFEBF5EB"/>
        <bgColor rgb="FFEBF5EB"/>
      </patternFill>
    </fill>
    <fill>
      <patternFill patternType="solid">
        <fgColor rgb="FFFFFFFF"/>
        <bgColor rgb="FFFFFFFF"/>
      </patternFill>
    </fill>
    <fill>
      <patternFill patternType="solid">
        <fgColor rgb="FFC7DCF0"/>
        <bgColor rgb="FFC7DCF0"/>
      </patternFill>
    </fill>
    <fill>
      <patternFill patternType="solid">
        <fgColor rgb="FFFFE4CC"/>
        <bgColor rgb="FFFFE4CC"/>
      </patternFill>
    </fill>
    <fill>
      <patternFill patternType="solid">
        <fgColor rgb="FFFFFBEB"/>
        <bgColor rgb="FFFFFBEB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  <fill>
      <patternFill patternType="solid">
        <fgColor rgb="FFFFF8F0"/>
        <bgColor rgb="FFFFF8F0"/>
      </patternFill>
    </fill>
    <fill>
      <patternFill patternType="solid">
        <fgColor rgb="FFEEF4FF"/>
        <bgColor rgb="FFEEF4FF"/>
      </patternFill>
    </fill>
  </fills>
  <borders count="16">
    <border/>
    <border>
      <left style="thin">
        <color rgb="FF1B3A5C"/>
      </left>
      <top style="thin">
        <color rgb="FF1B3A5C"/>
      </top>
      <bottom style="thin">
        <color rgb="FF1B3A5C"/>
      </bottom>
    </border>
    <border>
      <top style="thin">
        <color rgb="FF1B3A5C"/>
      </top>
      <bottom style="thin">
        <color rgb="FF1B3A5C"/>
      </bottom>
    </border>
    <border>
      <right style="thin">
        <color rgb="FF1B3A5C"/>
      </right>
      <top style="thin">
        <color rgb="FF1B3A5C"/>
      </top>
      <bottom style="thin">
        <color rgb="FF1B3A5C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6" fontId="6" numFmtId="0" xfId="0" applyAlignment="1" applyBorder="1" applyFill="1" applyFont="1">
      <alignment horizontal="center" shrinkToFit="0" vertical="center" wrapText="0"/>
    </xf>
    <xf borderId="4" fillId="7" fontId="7" numFmtId="0" xfId="0" applyAlignment="1" applyBorder="1" applyFill="1" applyFont="1">
      <alignment horizontal="center" shrinkToFit="0" vertical="center" wrapText="0"/>
    </xf>
    <xf borderId="4" fillId="8" fontId="8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7" fontId="12" numFmtId="0" xfId="0" applyAlignment="1" applyBorder="1" applyFont="1">
      <alignment horizontal="center" shrinkToFit="0" vertical="center" wrapText="1"/>
    </xf>
    <xf borderId="5" fillId="9" fontId="8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8" fontId="13" numFmtId="0" xfId="0" applyAlignment="1" applyBorder="1" applyFont="1">
      <alignment horizontal="left" shrinkToFit="0" vertical="center" wrapText="1"/>
    </xf>
    <xf borderId="4" fillId="10" fontId="13" numFmtId="0" xfId="0" applyAlignment="1" applyBorder="1" applyFill="1" applyFont="1">
      <alignment horizontal="left" shrinkToFit="0" vertical="center" wrapText="1"/>
    </xf>
    <xf borderId="4" fillId="4" fontId="14" numFmtId="0" xfId="0" applyAlignment="1" applyBorder="1" applyFont="1">
      <alignment horizontal="center" shrinkToFit="0" vertical="center" wrapText="0"/>
    </xf>
    <xf borderId="4" fillId="5" fontId="15" numFmtId="0" xfId="0" applyAlignment="1" applyBorder="1" applyFont="1">
      <alignment horizontal="center" shrinkToFit="0" vertical="center" wrapText="0"/>
    </xf>
    <xf borderId="4" fillId="6" fontId="16" numFmtId="0" xfId="0" applyAlignment="1" applyBorder="1" applyFont="1">
      <alignment horizontal="center" shrinkToFit="0" vertical="center" wrapText="0"/>
    </xf>
    <xf borderId="4" fillId="7" fontId="17" numFmtId="0" xfId="0" applyAlignment="1" applyBorder="1" applyFont="1">
      <alignment horizontal="center" shrinkToFit="0" vertical="center" wrapText="0"/>
    </xf>
    <xf borderId="4" fillId="11" fontId="18" numFmtId="0" xfId="0" applyAlignment="1" applyBorder="1" applyFill="1" applyFont="1">
      <alignment horizontal="left" shrinkToFit="0" vertical="center" wrapText="1"/>
    </xf>
    <xf borderId="4" fillId="12" fontId="13" numFmtId="0" xfId="0" applyAlignment="1" applyBorder="1" applyFill="1" applyFont="1">
      <alignment horizontal="left" shrinkToFit="0" vertical="center" wrapText="1"/>
    </xf>
    <xf borderId="5" fillId="11" fontId="19" numFmtId="0" xfId="0" applyAlignment="1" applyBorder="1" applyFont="1">
      <alignment horizontal="left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1" fillId="3" fontId="21" numFmtId="0" xfId="0" applyAlignment="1" applyBorder="1" applyFont="1">
      <alignment horizontal="center" shrinkToFit="0" vertical="center" wrapText="1"/>
    </xf>
    <xf borderId="5" fillId="8" fontId="8" numFmtId="0" xfId="0" applyAlignment="1" applyBorder="1" applyFont="1">
      <alignment horizontal="center" shrinkToFit="0" vertical="center" wrapText="1"/>
    </xf>
    <xf borderId="4" fillId="13" fontId="22" numFmtId="0" xfId="0" applyAlignment="1" applyBorder="1" applyFill="1" applyFont="1">
      <alignment horizontal="left" shrinkToFit="0" vertical="center" wrapText="1"/>
    </xf>
    <xf borderId="4" fillId="14" fontId="23" numFmtId="0" xfId="0" applyAlignment="1" applyBorder="1" applyFill="1" applyFont="1">
      <alignment horizontal="center" shrinkToFit="0" vertical="center" wrapText="0"/>
    </xf>
    <xf borderId="5" fillId="15" fontId="8" numFmtId="0" xfId="0" applyAlignment="1" applyBorder="1" applyFill="1" applyFont="1">
      <alignment horizontal="center" shrinkToFit="0" vertical="center" wrapText="1"/>
    </xf>
    <xf borderId="4" fillId="16" fontId="22" numFmtId="0" xfId="0" applyAlignment="1" applyBorder="1" applyFill="1" applyFont="1">
      <alignment horizontal="left" shrinkToFit="0" vertical="center" wrapText="1"/>
    </xf>
    <xf borderId="5" fillId="16" fontId="22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center" shrinkToFit="0" vertical="center" wrapText="0"/>
    </xf>
    <xf borderId="4" fillId="17" fontId="13" numFmtId="0" xfId="0" applyAlignment="1" applyBorder="1" applyFill="1" applyFont="1">
      <alignment horizontal="left" shrinkToFit="0" vertical="center" wrapText="1"/>
    </xf>
    <xf borderId="4" fillId="18" fontId="24" numFmtId="0" xfId="0" applyAlignment="1" applyBorder="1" applyFill="1" applyFont="1">
      <alignment horizontal="center" shrinkToFit="0" vertical="center" wrapText="0"/>
    </xf>
    <xf borderId="4" fillId="14" fontId="25" numFmtId="0" xfId="0" applyAlignment="1" applyBorder="1" applyFont="1">
      <alignment horizontal="center" shrinkToFit="0" vertical="center" wrapText="0"/>
    </xf>
    <xf borderId="4" fillId="18" fontId="22" numFmtId="0" xfId="0" applyAlignment="1" applyBorder="1" applyFont="1">
      <alignment horizontal="center" shrinkToFit="0" vertical="center" wrapText="0"/>
    </xf>
    <xf borderId="4" fillId="19" fontId="22" numFmtId="0" xfId="0" applyAlignment="1" applyBorder="1" applyFill="1" applyFont="1">
      <alignment horizontal="center" shrinkToFit="0" vertical="center" wrapText="0"/>
    </xf>
    <xf borderId="4" fillId="11" fontId="18" numFmtId="0" xfId="0" applyAlignment="1" applyBorder="1" applyFont="1">
      <alignment horizontal="center" shrinkToFit="0" vertical="center" wrapText="1"/>
    </xf>
    <xf borderId="4" fillId="20" fontId="24" numFmtId="0" xfId="0" applyAlignment="1" applyBorder="1" applyFill="1" applyFont="1">
      <alignment horizontal="center" shrinkToFit="0" vertical="center" wrapText="0"/>
    </xf>
    <xf borderId="4" fillId="21" fontId="24" numFmtId="0" xfId="0" applyAlignment="1" applyBorder="1" applyFill="1" applyFont="1">
      <alignment horizontal="center" shrinkToFit="0" vertical="center" wrapText="0"/>
    </xf>
    <xf borderId="4" fillId="10" fontId="22" numFmtId="0" xfId="0" applyAlignment="1" applyBorder="1" applyFont="1">
      <alignment horizontal="left" shrinkToFit="0" vertical="center" wrapText="1"/>
    </xf>
    <xf borderId="4" fillId="22" fontId="13" numFmtId="0" xfId="0" applyAlignment="1" applyBorder="1" applyFill="1" applyFont="1">
      <alignment horizontal="left" shrinkToFit="0" vertical="center" wrapText="1"/>
    </xf>
    <xf borderId="4" fillId="16" fontId="26" numFmtId="164" xfId="0" applyAlignment="1" applyBorder="1" applyFont="1" applyNumberFormat="1">
      <alignment horizontal="center" shrinkToFit="0" vertical="center" wrapText="0"/>
    </xf>
    <xf borderId="4" fillId="16" fontId="27" numFmtId="0" xfId="0" applyAlignment="1" applyBorder="1" applyFont="1">
      <alignment horizontal="left" shrinkToFit="0" vertical="center" wrapText="1"/>
    </xf>
    <xf borderId="4" fillId="19" fontId="24" numFmtId="0" xfId="0" applyAlignment="1" applyBorder="1" applyFont="1">
      <alignment horizontal="center" shrinkToFit="0" vertical="center" wrapText="0"/>
    </xf>
    <xf borderId="4" fillId="20" fontId="26" numFmtId="164" xfId="0" applyAlignment="1" applyBorder="1" applyFont="1" applyNumberFormat="1">
      <alignment horizontal="center" shrinkToFit="0" vertical="center" wrapText="0"/>
    </xf>
    <xf borderId="4" fillId="16" fontId="26" numFmtId="2" xfId="0" applyAlignment="1" applyBorder="1" applyFont="1" applyNumberFormat="1">
      <alignment horizontal="center" shrinkToFit="0" vertical="center" wrapText="0"/>
    </xf>
    <xf borderId="4" fillId="23" fontId="13" numFmtId="0" xfId="0" applyAlignment="1" applyBorder="1" applyFill="1" applyFont="1">
      <alignment horizontal="left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4" fillId="11" fontId="19" numFmtId="0" xfId="0" applyAlignment="1" applyBorder="1" applyFont="1">
      <alignment horizontal="left" shrinkToFit="0" vertical="center" wrapText="1"/>
    </xf>
    <xf borderId="4" fillId="24" fontId="22" numFmtId="0" xfId="0" applyAlignment="1" applyBorder="1" applyFill="1" applyFont="1">
      <alignment horizontal="left" shrinkToFit="0" vertical="center" wrapText="1"/>
    </xf>
    <xf borderId="4" fillId="24" fontId="13" numFmtId="0" xfId="0" applyAlignment="1" applyBorder="1" applyFont="1">
      <alignment horizontal="right" shrinkToFit="0" vertical="center" wrapText="1"/>
    </xf>
    <xf borderId="4" fillId="24" fontId="13" numFmtId="0" xfId="0" applyAlignment="1" applyBorder="1" applyFont="1">
      <alignment horizontal="left" shrinkToFit="0" vertical="center" wrapText="1"/>
    </xf>
    <xf borderId="4" fillId="11" fontId="19" numFmtId="0" xfId="0" applyAlignment="1" applyBorder="1" applyFont="1">
      <alignment horizontal="center" shrinkToFit="0" vertical="center" wrapText="0"/>
    </xf>
    <xf borderId="8" fillId="14" fontId="23" numFmtId="0" xfId="0" applyAlignment="1" applyBorder="1" applyFont="1">
      <alignment horizontal="left"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4">
    <dxf>
      <font>
        <b/>
        <color rgb="FF14532D"/>
        <name val="Calibri"/>
      </font>
      <fill>
        <patternFill patternType="solid">
          <fgColor rgb="FFDCFCE7"/>
          <bgColor rgb="FFDCFCE7"/>
        </patternFill>
      </fill>
      <border/>
    </dxf>
    <dxf>
      <font>
        <b/>
        <color rgb="FF713F12"/>
        <name val="Calibri"/>
      </font>
      <fill>
        <patternFill patternType="solid">
          <fgColor rgb="FFFEF9C3"/>
          <bgColor rgb="FFFEF9C3"/>
        </patternFill>
      </fill>
      <border/>
    </dxf>
    <dxf>
      <font>
        <b/>
        <color rgb="FF7C2D12"/>
        <name val="Calibri"/>
      </font>
      <fill>
        <patternFill patternType="solid">
          <fgColor rgb="FFFFEDD5"/>
          <bgColor rgb="FFFFEDD5"/>
        </patternFill>
      </fill>
      <border/>
    </dxf>
    <dxf>
      <font>
        <b/>
        <color rgb="FF7F1D1D"/>
        <name val="Calibri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5569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6" width="20.0"/>
    <col customWidth="1" min="7" max="7" width="3.0"/>
    <col customWidth="1" min="8" max="8" width="38.0"/>
    <col customWidth="1" min="9" max="26" width="8.71"/>
  </cols>
  <sheetData>
    <row r="1" ht="6.0" customHeight="1"/>
    <row r="2" ht="43.5" customHeight="1">
      <c r="B2" s="1" t="s">
        <v>0</v>
      </c>
      <c r="C2" s="2"/>
      <c r="D2" s="2"/>
      <c r="E2" s="2"/>
      <c r="F2" s="2"/>
      <c r="G2" s="2"/>
      <c r="H2" s="3"/>
    </row>
    <row r="3" ht="3.75" customHeight="1">
      <c r="B3" s="4" t="s">
        <v>1</v>
      </c>
      <c r="C3" s="2"/>
      <c r="D3" s="2"/>
      <c r="E3" s="2"/>
      <c r="F3" s="2"/>
      <c r="G3" s="2"/>
      <c r="H3" s="3"/>
    </row>
    <row r="4" ht="18.0" customHeight="1">
      <c r="B4" s="5" t="s">
        <v>2</v>
      </c>
      <c r="C4" s="6" t="s">
        <v>3</v>
      </c>
      <c r="D4" s="7" t="s">
        <v>4</v>
      </c>
      <c r="E4" s="8" t="s">
        <v>5</v>
      </c>
    </row>
    <row r="5" ht="7.5" customHeight="1"/>
    <row r="6" ht="25.5" customHeight="1">
      <c r="B6" s="9" t="s">
        <v>6</v>
      </c>
      <c r="C6" s="10" t="s">
        <v>7</v>
      </c>
      <c r="D6" s="11" t="s">
        <v>8</v>
      </c>
      <c r="E6" s="12" t="s">
        <v>9</v>
      </c>
      <c r="F6" s="13" t="s">
        <v>10</v>
      </c>
      <c r="H6" s="9" t="s">
        <v>11</v>
      </c>
    </row>
    <row r="7" ht="6.0" customHeight="1"/>
    <row r="8" ht="19.5" customHeight="1">
      <c r="B8" s="14" t="s">
        <v>12</v>
      </c>
      <c r="C8" s="15"/>
      <c r="D8" s="15"/>
      <c r="E8" s="15"/>
      <c r="F8" s="16"/>
      <c r="H8" s="17"/>
    </row>
    <row r="9" ht="27.75" customHeight="1">
      <c r="B9" s="18" t="s">
        <v>13</v>
      </c>
      <c r="C9" s="19" t="s">
        <v>14</v>
      </c>
      <c r="D9" s="20" t="s">
        <v>15</v>
      </c>
      <c r="E9" s="21" t="s">
        <v>16</v>
      </c>
      <c r="F9" s="22" t="s">
        <v>17</v>
      </c>
      <c r="H9" s="23" t="s">
        <v>18</v>
      </c>
    </row>
    <row r="10" ht="27.75" customHeight="1">
      <c r="B10" s="18" t="s">
        <v>19</v>
      </c>
      <c r="C10" s="19" t="s">
        <v>14</v>
      </c>
      <c r="D10" s="20" t="s">
        <v>15</v>
      </c>
      <c r="E10" s="21" t="s">
        <v>16</v>
      </c>
      <c r="F10" s="22" t="s">
        <v>17</v>
      </c>
      <c r="H10" s="23" t="s">
        <v>20</v>
      </c>
    </row>
    <row r="11" ht="6.0" customHeight="1"/>
    <row r="12" ht="19.5" customHeight="1">
      <c r="B12" s="14" t="s">
        <v>21</v>
      </c>
      <c r="C12" s="15"/>
      <c r="D12" s="15"/>
      <c r="E12" s="15"/>
      <c r="F12" s="16"/>
      <c r="H12" s="17"/>
    </row>
    <row r="13" ht="27.75" customHeight="1">
      <c r="B13" s="18" t="s">
        <v>22</v>
      </c>
      <c r="C13" s="19" t="s">
        <v>23</v>
      </c>
      <c r="D13" s="20" t="s">
        <v>24</v>
      </c>
      <c r="E13" s="21" t="s">
        <v>25</v>
      </c>
      <c r="F13" s="22" t="s">
        <v>17</v>
      </c>
      <c r="H13" s="23" t="s">
        <v>26</v>
      </c>
    </row>
    <row r="14" ht="6.0" customHeight="1"/>
    <row r="15" ht="19.5" customHeight="1">
      <c r="B15" s="14" t="s">
        <v>27</v>
      </c>
      <c r="C15" s="15"/>
      <c r="D15" s="15"/>
      <c r="E15" s="15"/>
      <c r="F15" s="16"/>
      <c r="H15" s="17"/>
    </row>
    <row r="16" ht="27.75" customHeight="1">
      <c r="B16" s="18" t="s">
        <v>28</v>
      </c>
      <c r="C16" s="19" t="s">
        <v>29</v>
      </c>
      <c r="D16" s="20" t="s">
        <v>30</v>
      </c>
      <c r="E16" s="21" t="s">
        <v>31</v>
      </c>
      <c r="F16" s="22" t="s">
        <v>17</v>
      </c>
      <c r="H16" s="23" t="s">
        <v>32</v>
      </c>
    </row>
    <row r="17" ht="27.75" customHeight="1">
      <c r="B17" s="24" t="s">
        <v>33</v>
      </c>
      <c r="C17" s="19" t="s">
        <v>34</v>
      </c>
      <c r="D17" s="20" t="s">
        <v>15</v>
      </c>
      <c r="E17" s="21" t="s">
        <v>30</v>
      </c>
      <c r="F17" s="22" t="s">
        <v>17</v>
      </c>
      <c r="H17" s="23" t="s">
        <v>35</v>
      </c>
    </row>
    <row r="18" ht="6.0" customHeight="1"/>
    <row r="19" ht="19.5" customHeight="1">
      <c r="B19" s="14" t="s">
        <v>36</v>
      </c>
      <c r="C19" s="15"/>
      <c r="D19" s="15"/>
      <c r="E19" s="15"/>
      <c r="F19" s="16"/>
      <c r="H19" s="17"/>
    </row>
    <row r="20" ht="27.75" customHeight="1">
      <c r="B20" s="18" t="s">
        <v>28</v>
      </c>
      <c r="C20" s="19" t="s">
        <v>37</v>
      </c>
      <c r="D20" s="20" t="s">
        <v>38</v>
      </c>
      <c r="E20" s="21" t="s">
        <v>39</v>
      </c>
      <c r="F20" s="22" t="s">
        <v>17</v>
      </c>
      <c r="H20" s="23" t="s">
        <v>40</v>
      </c>
    </row>
    <row r="21" ht="27.75" customHeight="1">
      <c r="B21" s="24" t="s">
        <v>33</v>
      </c>
      <c r="C21" s="19" t="s">
        <v>41</v>
      </c>
      <c r="D21" s="20" t="s">
        <v>42</v>
      </c>
      <c r="E21" s="21" t="s">
        <v>38</v>
      </c>
      <c r="F21" s="22" t="s">
        <v>17</v>
      </c>
      <c r="H21" s="23" t="s">
        <v>43</v>
      </c>
    </row>
    <row r="22" ht="6.0" customHeight="1"/>
    <row r="23" ht="19.5" customHeight="1">
      <c r="B23" s="14" t="s">
        <v>44</v>
      </c>
      <c r="C23" s="15"/>
      <c r="D23" s="15"/>
      <c r="E23" s="15"/>
      <c r="F23" s="16"/>
      <c r="H23" s="17"/>
    </row>
    <row r="24" ht="27.75" customHeight="1">
      <c r="B24" s="18" t="s">
        <v>45</v>
      </c>
      <c r="C24" s="19" t="s">
        <v>46</v>
      </c>
      <c r="D24" s="20" t="s">
        <v>47</v>
      </c>
      <c r="E24" s="21" t="s">
        <v>48</v>
      </c>
      <c r="F24" s="22" t="s">
        <v>17</v>
      </c>
      <c r="H24" s="23" t="s">
        <v>49</v>
      </c>
    </row>
    <row r="25" ht="27.75" customHeight="1">
      <c r="B25" s="24" t="s">
        <v>50</v>
      </c>
      <c r="C25" s="19" t="s">
        <v>51</v>
      </c>
      <c r="D25" s="20" t="s">
        <v>52</v>
      </c>
      <c r="E25" s="21" t="s">
        <v>53</v>
      </c>
      <c r="F25" s="22" t="s">
        <v>17</v>
      </c>
      <c r="H25" s="23" t="s">
        <v>54</v>
      </c>
    </row>
    <row r="26" ht="27.75" customHeight="1">
      <c r="B26" s="18" t="s">
        <v>55</v>
      </c>
      <c r="C26" s="19" t="s">
        <v>56</v>
      </c>
      <c r="D26" s="20" t="s">
        <v>57</v>
      </c>
      <c r="E26" s="21" t="s">
        <v>58</v>
      </c>
      <c r="F26" s="22" t="s">
        <v>17</v>
      </c>
      <c r="H26" s="23" t="s">
        <v>59</v>
      </c>
    </row>
    <row r="27" ht="27.75" customHeight="1">
      <c r="B27" s="24" t="s">
        <v>60</v>
      </c>
      <c r="C27" s="19" t="s">
        <v>46</v>
      </c>
      <c r="D27" s="20" t="s">
        <v>47</v>
      </c>
      <c r="E27" s="21" t="s">
        <v>48</v>
      </c>
      <c r="F27" s="22" t="s">
        <v>17</v>
      </c>
      <c r="H27" s="23" t="s">
        <v>61</v>
      </c>
    </row>
    <row r="28" ht="7.5" customHeight="1"/>
    <row r="29" ht="43.5" customHeight="1">
      <c r="B29" s="25" t="s">
        <v>62</v>
      </c>
      <c r="C29" s="15"/>
      <c r="D29" s="15"/>
      <c r="E29" s="15"/>
      <c r="F29" s="15"/>
      <c r="G29" s="15"/>
      <c r="H29" s="16"/>
    </row>
    <row r="30" ht="6.0" customHeight="1"/>
    <row r="31" ht="19.5" customHeight="1">
      <c r="B31" s="14" t="s">
        <v>63</v>
      </c>
      <c r="C31" s="15"/>
      <c r="D31" s="15"/>
      <c r="E31" s="15"/>
      <c r="F31" s="16"/>
      <c r="H31" s="17"/>
    </row>
    <row r="32" ht="27.75" customHeight="1">
      <c r="B32" s="18" t="s">
        <v>64</v>
      </c>
      <c r="C32" s="19" t="s">
        <v>65</v>
      </c>
      <c r="D32" s="20" t="s">
        <v>66</v>
      </c>
      <c r="E32" s="21" t="s">
        <v>67</v>
      </c>
      <c r="F32" s="22" t="s">
        <v>17</v>
      </c>
      <c r="H32" s="23" t="s">
        <v>68</v>
      </c>
    </row>
    <row r="33" ht="27.75" customHeight="1">
      <c r="B33" s="24" t="s">
        <v>69</v>
      </c>
      <c r="C33" s="19" t="s">
        <v>70</v>
      </c>
      <c r="D33" s="20" t="s">
        <v>71</v>
      </c>
      <c r="E33" s="21" t="s">
        <v>66</v>
      </c>
      <c r="F33" s="22" t="s">
        <v>17</v>
      </c>
      <c r="H33" s="23" t="s">
        <v>72</v>
      </c>
    </row>
    <row r="34" ht="27.75" customHeight="1">
      <c r="B34" s="18" t="s">
        <v>73</v>
      </c>
      <c r="C34" s="19" t="s">
        <v>74</v>
      </c>
      <c r="D34" s="20" t="s">
        <v>75</v>
      </c>
      <c r="E34" s="21" t="s">
        <v>76</v>
      </c>
      <c r="F34" s="22" t="s">
        <v>17</v>
      </c>
      <c r="H34" s="23" t="s">
        <v>77</v>
      </c>
    </row>
    <row r="35" ht="27.75" customHeight="1">
      <c r="B35" s="24" t="s">
        <v>78</v>
      </c>
      <c r="C35" s="19" t="s">
        <v>65</v>
      </c>
      <c r="D35" s="20" t="s">
        <v>66</v>
      </c>
      <c r="E35" s="21" t="s">
        <v>67</v>
      </c>
      <c r="F35" s="22" t="s">
        <v>17</v>
      </c>
      <c r="H35" s="23" t="s">
        <v>79</v>
      </c>
    </row>
    <row r="36" ht="6.0" customHeight="1"/>
    <row r="37" ht="19.5" customHeight="1">
      <c r="B37" s="14" t="s">
        <v>80</v>
      </c>
      <c r="C37" s="15"/>
      <c r="D37" s="15"/>
      <c r="E37" s="15"/>
      <c r="F37" s="16"/>
      <c r="H37" s="17"/>
    </row>
    <row r="38" ht="27.75" customHeight="1">
      <c r="B38" s="18" t="s">
        <v>81</v>
      </c>
      <c r="C38" s="19" t="s">
        <v>82</v>
      </c>
      <c r="D38" s="20" t="s">
        <v>83</v>
      </c>
      <c r="E38" s="21" t="s">
        <v>84</v>
      </c>
      <c r="F38" s="22" t="s">
        <v>17</v>
      </c>
      <c r="H38" s="23" t="s">
        <v>85</v>
      </c>
    </row>
    <row r="39" ht="27.75" customHeight="1">
      <c r="B39" s="24" t="s">
        <v>86</v>
      </c>
      <c r="C39" s="19" t="s">
        <v>37</v>
      </c>
      <c r="D39" s="20" t="s">
        <v>38</v>
      </c>
      <c r="E39" s="21" t="s">
        <v>83</v>
      </c>
      <c r="F39" s="22" t="s">
        <v>17</v>
      </c>
      <c r="H39" s="23" t="s">
        <v>87</v>
      </c>
    </row>
    <row r="40" ht="7.5" customHeight="1"/>
    <row r="41" ht="36.0" customHeight="1">
      <c r="B41" s="25" t="s">
        <v>88</v>
      </c>
      <c r="C41" s="15"/>
      <c r="D41" s="15"/>
      <c r="E41" s="15"/>
      <c r="F41" s="15"/>
      <c r="G41" s="15"/>
      <c r="H41" s="1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9:H29"/>
    <mergeCell ref="B31:F31"/>
    <mergeCell ref="B37:F37"/>
    <mergeCell ref="B41:H41"/>
    <mergeCell ref="B2:H2"/>
    <mergeCell ref="B3:H3"/>
    <mergeCell ref="B8:F8"/>
    <mergeCell ref="B12:F12"/>
    <mergeCell ref="B15:F15"/>
    <mergeCell ref="B19:F19"/>
    <mergeCell ref="B23:F23"/>
  </mergeCells>
  <printOptions/>
  <pageMargins bottom="1.0" footer="0.0" header="0.0" left="0.5" right="0.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30.0"/>
    <col customWidth="1" min="4" max="4" width="3.0"/>
    <col customWidth="1" min="5" max="5" width="26.0"/>
    <col customWidth="1" min="6" max="6" width="30.0"/>
    <col customWidth="1" min="7" max="26" width="8.71"/>
  </cols>
  <sheetData>
    <row r="1" ht="6.0" customHeight="1"/>
    <row r="2" ht="48.0" customHeight="1">
      <c r="B2" s="26" t="s">
        <v>89</v>
      </c>
      <c r="C2" s="2"/>
      <c r="D2" s="2"/>
      <c r="E2" s="2"/>
      <c r="F2" s="3"/>
    </row>
    <row r="3" ht="3.75" customHeight="1">
      <c r="B3" s="27" t="s">
        <v>90</v>
      </c>
      <c r="C3" s="2"/>
      <c r="D3" s="2"/>
      <c r="E3" s="2"/>
      <c r="F3" s="3"/>
    </row>
    <row r="4" ht="9.75" customHeight="1"/>
    <row r="5" ht="21.75" customHeight="1">
      <c r="B5" s="28" t="s">
        <v>91</v>
      </c>
      <c r="C5" s="15"/>
      <c r="D5" s="15"/>
      <c r="E5" s="15"/>
      <c r="F5" s="16"/>
    </row>
    <row r="6" ht="21.75" customHeight="1">
      <c r="B6" s="29" t="s">
        <v>92</v>
      </c>
      <c r="C6" s="30"/>
      <c r="E6" s="29" t="s">
        <v>93</v>
      </c>
      <c r="F6" s="30"/>
    </row>
    <row r="7" ht="21.75" customHeight="1">
      <c r="B7" s="29" t="s">
        <v>94</v>
      </c>
      <c r="C7" s="30"/>
      <c r="E7" s="29" t="s">
        <v>95</v>
      </c>
      <c r="F7" s="30"/>
    </row>
    <row r="8" ht="21.75" customHeight="1">
      <c r="B8" s="29" t="s">
        <v>96</v>
      </c>
      <c r="C8" s="30"/>
      <c r="E8" s="29" t="s">
        <v>97</v>
      </c>
      <c r="F8" s="30"/>
    </row>
    <row r="9" ht="21.75" customHeight="1">
      <c r="B9" s="29" t="s">
        <v>98</v>
      </c>
      <c r="C9" s="30"/>
      <c r="E9" s="29" t="s">
        <v>99</v>
      </c>
      <c r="F9" s="30"/>
    </row>
    <row r="10" ht="21.75" customHeight="1">
      <c r="B10" s="29" t="s">
        <v>100</v>
      </c>
      <c r="C10" s="30"/>
      <c r="E10" s="29" t="s">
        <v>101</v>
      </c>
      <c r="F10" s="30"/>
    </row>
    <row r="11" ht="21.75" customHeight="1">
      <c r="B11" s="29" t="s">
        <v>102</v>
      </c>
      <c r="C11" s="30"/>
      <c r="E11" s="29" t="s">
        <v>103</v>
      </c>
      <c r="F11" s="30"/>
    </row>
    <row r="12" ht="9.75" customHeight="1"/>
    <row r="13" ht="21.75" customHeight="1">
      <c r="B13" s="31" t="s">
        <v>104</v>
      </c>
      <c r="C13" s="15"/>
      <c r="D13" s="15"/>
      <c r="E13" s="15"/>
      <c r="F13" s="16"/>
    </row>
    <row r="14" ht="21.75" customHeight="1">
      <c r="B14" s="29" t="s">
        <v>105</v>
      </c>
      <c r="C14" s="30" t="s">
        <v>106</v>
      </c>
      <c r="E14" s="25" t="s">
        <v>107</v>
      </c>
      <c r="F14" s="16"/>
    </row>
    <row r="15" ht="21.75" customHeight="1">
      <c r="B15" s="29" t="s">
        <v>108</v>
      </c>
      <c r="C15" s="30" t="s">
        <v>109</v>
      </c>
      <c r="E15" s="25" t="s">
        <v>110</v>
      </c>
      <c r="F15" s="16"/>
    </row>
    <row r="16" ht="9.75" customHeight="1"/>
    <row r="17" ht="25.5" customHeight="1">
      <c r="B17" s="32" t="s">
        <v>111</v>
      </c>
      <c r="C17" s="33" t="str">
        <f>IF(AND(SEXO="Masculino",PERFIL="Deportista"),"Masc+Dep: &gt;0.65 🟢 | 0.55–0.65 🟡 | 0.50–0.55 🟠 | &lt;0.50 🔴",IF(AND(SEXO="Masculino",PERFIL&lt;&gt;"Deportista"),"Masc+Gral: &gt;0.60 🟢 | 0.50–0.60 🟡 | 0.45–0.50 🟠 | &lt;0.45 🔴",IF(AND(SEXO="Femenino",PERFIL="Deportista"),"Fem+Dep: &gt;0.60 🟢 | 0.50–0.60 🟡 | 0.45–0.50 🟠 | &lt;0.45 🔴","Fem+Gral: &gt;0.55 🟢 | 0.45–0.55 🟡 | 0.40–0.45 🟠 | &lt;0.40 🔴")))</f>
        <v>Fem+Gral: &gt;0.55 🟢 | 0.45–0.55 🟡 | 0.40–0.45 🟠 | &lt;0.40 🔴</v>
      </c>
      <c r="D17" s="15"/>
      <c r="E17" s="15"/>
      <c r="F17" s="16"/>
    </row>
    <row r="18" ht="25.5" customHeight="1">
      <c r="B18" s="32" t="s">
        <v>112</v>
      </c>
      <c r="C18" s="33" t="str">
        <f>IF(PERFIL="Deportista","&gt;15% 🟢 | 10–15% 🟡 | 5–10% 🟠 | &lt;5% 🔴","&gt;10% 🟢 | 5–10% 🟡 | 2–5% 🟠 | &lt;2% 🔴")</f>
        <v>&gt;10% 🟢 | 5–10% 🟡 | 2–5% 🟠 | &lt;2% 🔴</v>
      </c>
      <c r="D18" s="15"/>
      <c r="E18" s="15"/>
      <c r="F18" s="16"/>
    </row>
    <row r="19" ht="25.5" customHeight="1">
      <c r="B19" s="32" t="s">
        <v>113</v>
      </c>
      <c r="C19" s="33" t="str">
        <f>IF(PERFIL="Deportista","&gt;1.50 🟢 | 1.20–1.50 🟡 | 1.00–1.20 🟠 | &lt;1.00 🔴","&gt;1.20 🟢 | 1.00–1.20 🟡 | 0.80–1.00 🟠 | &lt;0.80 🔴")</f>
        <v>&gt;1.20 🟢 | 1.00–1.20 🟡 | 0.80–1.00 🟠 | &lt;0.80 🔴</v>
      </c>
      <c r="D19" s="15"/>
      <c r="E19" s="15"/>
      <c r="F19" s="16"/>
    </row>
    <row r="20" ht="7.5" customHeight="1"/>
    <row r="21" ht="25.5" customHeight="1">
      <c r="B21" s="25" t="s">
        <v>114</v>
      </c>
      <c r="C21" s="15"/>
      <c r="D21" s="15"/>
      <c r="E21" s="15"/>
      <c r="F21" s="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8:F18"/>
    <mergeCell ref="C19:F19"/>
    <mergeCell ref="B21:F21"/>
    <mergeCell ref="B2:F2"/>
    <mergeCell ref="B3:F3"/>
    <mergeCell ref="B5:F5"/>
    <mergeCell ref="B13:F13"/>
    <mergeCell ref="E14:F14"/>
    <mergeCell ref="E15:F15"/>
    <mergeCell ref="C17:F17"/>
  </mergeCells>
  <dataValidations>
    <dataValidation type="list" allowBlank="1" sqref="C15">
      <formula1>"Completa,Reducida (solo Single Hop)"</formula1>
    </dataValidation>
    <dataValidation type="list" allowBlank="1" sqref="F8">
      <formula1>"Masculino,Femenino"</formula1>
    </dataValidation>
    <dataValidation type="list" allowBlank="1" sqref="C14">
      <formula1>"Unipodal,Bipodal"</formula1>
    </dataValidation>
    <dataValidation type="list" allowBlank="1" sqref="C9">
      <formula1>"Deportista,Población General"</formula1>
    </dataValidation>
  </dataValidations>
  <printOptions/>
  <pageMargins bottom="1.0" footer="0.0" header="0.0" left="0.5" right="0.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4ED8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5" width="14.0"/>
    <col customWidth="1" min="6" max="6" width="3.0"/>
    <col customWidth="1" min="7" max="7" width="36.0"/>
    <col customWidth="1" min="8" max="26" width="8.71"/>
  </cols>
  <sheetData>
    <row r="1" ht="6.0" customHeight="1"/>
    <row r="2" ht="43.5" customHeight="1">
      <c r="B2" s="1" t="s">
        <v>115</v>
      </c>
      <c r="C2" s="2"/>
      <c r="D2" s="2"/>
      <c r="E2" s="2"/>
      <c r="F2" s="2"/>
      <c r="G2" s="3"/>
    </row>
    <row r="3" ht="3.75" customHeight="1">
      <c r="B3" s="4" t="s">
        <v>116</v>
      </c>
      <c r="C3" s="2"/>
      <c r="D3" s="2"/>
      <c r="E3" s="2"/>
      <c r="F3" s="2"/>
      <c r="G3" s="3"/>
    </row>
    <row r="4" ht="18.0" customHeight="1">
      <c r="B4" s="5" t="s">
        <v>117</v>
      </c>
      <c r="C4" s="6" t="s">
        <v>118</v>
      </c>
      <c r="D4" s="7" t="s">
        <v>119</v>
      </c>
      <c r="E4" s="8" t="s">
        <v>120</v>
      </c>
    </row>
    <row r="5" ht="7.5" customHeight="1"/>
    <row r="6" ht="21.75" customHeight="1">
      <c r="B6" s="9" t="s">
        <v>121</v>
      </c>
      <c r="C6" s="34" t="s">
        <v>122</v>
      </c>
      <c r="D6" s="34" t="s">
        <v>123</v>
      </c>
      <c r="E6" s="34" t="s">
        <v>124</v>
      </c>
      <c r="G6" s="9" t="s">
        <v>125</v>
      </c>
    </row>
    <row r="7" ht="18.0" customHeight="1">
      <c r="B7" s="14" t="s">
        <v>126</v>
      </c>
      <c r="C7" s="15"/>
      <c r="D7" s="15"/>
      <c r="E7" s="16"/>
    </row>
    <row r="8" ht="21.75" customHeight="1">
      <c r="B8" s="18" t="s">
        <v>127</v>
      </c>
      <c r="C8" s="30"/>
      <c r="D8" s="30"/>
      <c r="E8" s="30"/>
      <c r="G8" s="35"/>
    </row>
    <row r="9" ht="21.75" customHeight="1">
      <c r="B9" s="18" t="s">
        <v>128</v>
      </c>
      <c r="C9" s="30"/>
      <c r="D9" s="30"/>
      <c r="E9" s="30"/>
      <c r="G9" s="35"/>
    </row>
    <row r="10" ht="6.0" customHeight="1"/>
    <row r="11" ht="18.0" customHeight="1">
      <c r="B11" s="14" t="s">
        <v>129</v>
      </c>
      <c r="C11" s="15"/>
      <c r="D11" s="15"/>
      <c r="E11" s="16"/>
    </row>
    <row r="12" ht="15.75" customHeight="1">
      <c r="C12" s="36" t="s">
        <v>130</v>
      </c>
      <c r="D12" s="36" t="s">
        <v>131</v>
      </c>
      <c r="E12" s="36" t="s">
        <v>132</v>
      </c>
    </row>
    <row r="13" ht="21.75" customHeight="1">
      <c r="B13" s="18" t="s">
        <v>133</v>
      </c>
      <c r="C13" s="37"/>
      <c r="D13" s="37"/>
      <c r="E13" s="37"/>
      <c r="G13" s="35"/>
    </row>
    <row r="14" ht="21.75" customHeight="1">
      <c r="B14" s="18" t="s">
        <v>134</v>
      </c>
      <c r="C14" s="37"/>
      <c r="D14" s="37"/>
      <c r="E14" s="37"/>
      <c r="G14" s="35"/>
    </row>
    <row r="15" ht="21.75" customHeight="1">
      <c r="B15" s="18" t="s">
        <v>135</v>
      </c>
      <c r="C15" s="37"/>
      <c r="D15" s="37"/>
      <c r="E15" s="37"/>
      <c r="G15" s="35"/>
    </row>
    <row r="16" ht="21.75" customHeight="1">
      <c r="B16" s="18" t="s">
        <v>136</v>
      </c>
      <c r="C16" s="37"/>
      <c r="D16" s="37"/>
      <c r="E16" s="37"/>
      <c r="G16" s="35"/>
    </row>
    <row r="17" ht="6.0" customHeight="1"/>
    <row r="18" ht="25.5" customHeight="1">
      <c r="B18" s="25" t="s">
        <v>137</v>
      </c>
      <c r="C18" s="15"/>
      <c r="D18" s="15"/>
      <c r="E18" s="15"/>
      <c r="F18" s="15"/>
      <c r="G18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G2"/>
    <mergeCell ref="B3:G3"/>
    <mergeCell ref="B7:E7"/>
    <mergeCell ref="B11:E11"/>
    <mergeCell ref="B18:G18"/>
  </mergeCells>
  <conditionalFormatting sqref="C8:E17">
    <cfRule type="cellIs" dxfId="0" priority="1" operator="equal">
      <formula>3</formula>
    </cfRule>
  </conditionalFormatting>
  <conditionalFormatting sqref="C8:E17">
    <cfRule type="cellIs" dxfId="1" priority="2" operator="equal">
      <formula>2</formula>
    </cfRule>
  </conditionalFormatting>
  <conditionalFormatting sqref="C8:E17">
    <cfRule type="cellIs" dxfId="2" priority="3" operator="equal">
      <formula>1</formula>
    </cfRule>
  </conditionalFormatting>
  <conditionalFormatting sqref="C8:E17">
    <cfRule type="cellIs" dxfId="3" priority="4" operator="equal">
      <formula>0</formula>
    </cfRule>
  </conditionalFormatting>
  <dataValidations>
    <dataValidation type="list" allowBlank="1" sqref="C8:E9">
      <formula1>"0,1,2,3"</formula1>
    </dataValidation>
  </dataValidations>
  <printOptions/>
  <pageMargins bottom="1.0" footer="0.0" header="0.0" left="0.5" right="0.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A5E9"/>
    <pageSetUpPr fitToPage="1"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.0"/>
    <col customWidth="1" min="2" max="2" width="32.0"/>
    <col customWidth="1" min="3" max="4" width="12.0"/>
    <col customWidth="1" min="5" max="5" width="3.0"/>
    <col customWidth="1" min="6" max="7" width="12.0"/>
    <col customWidth="1" min="8" max="8" width="3.0"/>
    <col customWidth="1" min="9" max="10" width="12.0"/>
    <col customWidth="1" min="11" max="11" width="3.0"/>
    <col customWidth="1" min="12" max="12" width="28.0"/>
    <col customWidth="1" min="13" max="26" width="8.71"/>
  </cols>
  <sheetData>
    <row r="1" ht="6.0" customHeight="1"/>
    <row r="2" ht="43.5" customHeight="1">
      <c r="B2" s="1" t="s">
        <v>138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>
      <c r="B3" s="4" t="s">
        <v>139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ht="18.0" customHeight="1">
      <c r="B4" s="5" t="s">
        <v>2</v>
      </c>
      <c r="C4" s="6" t="s">
        <v>3</v>
      </c>
      <c r="D4" s="7" t="s">
        <v>4</v>
      </c>
      <c r="E4" s="8" t="s">
        <v>5</v>
      </c>
    </row>
    <row r="5" ht="7.5" customHeight="1"/>
    <row r="6" ht="21.75" customHeight="1">
      <c r="B6" s="9" t="s">
        <v>121</v>
      </c>
      <c r="C6" s="28" t="s">
        <v>140</v>
      </c>
      <c r="D6" s="16"/>
      <c r="F6" s="28" t="s">
        <v>141</v>
      </c>
      <c r="G6" s="16"/>
      <c r="I6" s="28" t="s">
        <v>142</v>
      </c>
      <c r="J6" s="16"/>
      <c r="L6" s="9" t="s">
        <v>143</v>
      </c>
    </row>
    <row r="7" ht="15.75" customHeight="1">
      <c r="C7" s="38" t="s">
        <v>144</v>
      </c>
      <c r="D7" s="39" t="s">
        <v>145</v>
      </c>
      <c r="F7" s="38" t="s">
        <v>144</v>
      </c>
      <c r="G7" s="39" t="s">
        <v>145</v>
      </c>
      <c r="I7" s="38" t="s">
        <v>144</v>
      </c>
      <c r="J7" s="39" t="s">
        <v>145</v>
      </c>
    </row>
    <row r="8" ht="21.75" customHeight="1">
      <c r="B8" s="14" t="s">
        <v>146</v>
      </c>
      <c r="C8" s="15"/>
      <c r="D8" s="15"/>
      <c r="E8" s="15"/>
      <c r="F8" s="15"/>
      <c r="G8" s="15"/>
      <c r="H8" s="15"/>
      <c r="I8" s="15"/>
      <c r="J8" s="15"/>
      <c r="K8" s="16"/>
      <c r="L8" s="17"/>
    </row>
    <row r="9" ht="21.75" customHeight="1">
      <c r="B9" s="18" t="s">
        <v>147</v>
      </c>
      <c r="C9" s="30"/>
      <c r="D9" s="30"/>
      <c r="F9" s="30"/>
      <c r="G9" s="30"/>
      <c r="I9" s="30"/>
      <c r="J9" s="30"/>
      <c r="L9" s="40" t="s">
        <v>148</v>
      </c>
    </row>
    <row r="10" ht="21.75" customHeight="1">
      <c r="B10" s="18" t="s">
        <v>149</v>
      </c>
      <c r="C10" s="30"/>
      <c r="D10" s="30"/>
      <c r="F10" s="30"/>
      <c r="G10" s="30"/>
      <c r="I10" s="30"/>
      <c r="J10" s="30"/>
      <c r="L10" s="40" t="s">
        <v>150</v>
      </c>
    </row>
    <row r="11" ht="21.75" customHeight="1">
      <c r="B11" s="18" t="s">
        <v>151</v>
      </c>
      <c r="C11" s="30"/>
      <c r="D11" s="30"/>
      <c r="F11" s="30"/>
      <c r="G11" s="30"/>
      <c r="I11" s="30"/>
      <c r="J11" s="30"/>
      <c r="L11" s="40" t="s">
        <v>152</v>
      </c>
    </row>
    <row r="12" ht="21.75" customHeight="1">
      <c r="B12" s="18" t="s">
        <v>153</v>
      </c>
      <c r="C12" s="30"/>
      <c r="D12" s="30"/>
      <c r="F12" s="30"/>
      <c r="G12" s="30"/>
      <c r="I12" s="30"/>
      <c r="J12" s="30"/>
      <c r="L12" s="40" t="s">
        <v>154</v>
      </c>
    </row>
    <row r="13" ht="21.75" customHeight="1">
      <c r="B13" s="18" t="s">
        <v>155</v>
      </c>
      <c r="C13" s="30"/>
      <c r="D13" s="30"/>
      <c r="F13" s="30"/>
      <c r="G13" s="30"/>
      <c r="I13" s="30"/>
      <c r="J13" s="30"/>
      <c r="L13" s="40" t="s">
        <v>154</v>
      </c>
    </row>
    <row r="14" ht="21.75" customHeight="1">
      <c r="B14" s="18" t="s">
        <v>156</v>
      </c>
      <c r="C14" s="30"/>
      <c r="D14" s="30"/>
      <c r="F14" s="30"/>
      <c r="G14" s="30"/>
      <c r="I14" s="30"/>
      <c r="J14" s="30"/>
      <c r="L14" s="40" t="s">
        <v>154</v>
      </c>
    </row>
    <row r="15" ht="6.0" customHeight="1"/>
    <row r="16" ht="21.75" customHeight="1">
      <c r="B16" s="14" t="s">
        <v>157</v>
      </c>
      <c r="C16" s="15"/>
      <c r="D16" s="15"/>
      <c r="E16" s="15"/>
      <c r="F16" s="15"/>
      <c r="G16" s="15"/>
      <c r="H16" s="15"/>
      <c r="I16" s="15"/>
      <c r="J16" s="15"/>
      <c r="K16" s="16"/>
      <c r="L16" s="17"/>
    </row>
    <row r="17" ht="21.75" customHeight="1">
      <c r="B17" s="18" t="s">
        <v>134</v>
      </c>
      <c r="C17" s="30"/>
      <c r="D17" s="30"/>
      <c r="F17" s="30"/>
      <c r="G17" s="30"/>
      <c r="I17" s="30"/>
      <c r="J17" s="30"/>
      <c r="L17" s="40" t="s">
        <v>158</v>
      </c>
    </row>
    <row r="18" ht="21.75" customHeight="1">
      <c r="B18" s="18" t="s">
        <v>159</v>
      </c>
      <c r="C18" s="30"/>
      <c r="D18" s="30"/>
      <c r="F18" s="30"/>
      <c r="G18" s="30"/>
      <c r="I18" s="30"/>
      <c r="J18" s="30"/>
      <c r="L18" s="40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L2"/>
    <mergeCell ref="B3:L3"/>
    <mergeCell ref="C6:D6"/>
    <mergeCell ref="F6:G6"/>
    <mergeCell ref="I6:J6"/>
    <mergeCell ref="B8:K8"/>
    <mergeCell ref="B16:K16"/>
  </mergeCells>
  <printOptions/>
  <pageMargins bottom="1.0" footer="0.0" header="0.0" left="0.5" right="0.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 fitToPage="1"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5" width="16.0"/>
    <col customWidth="1" min="6" max="6" width="2.0"/>
    <col customWidth="1" min="7" max="9" width="16.0"/>
    <col customWidth="1" min="10" max="10" width="2.0"/>
    <col customWidth="1" min="11" max="13" width="16.0"/>
    <col customWidth="1" min="14" max="14" width="2.0"/>
    <col customWidth="1" min="15" max="15" width="30.0"/>
    <col customWidth="1" min="16" max="26" width="8.71"/>
  </cols>
  <sheetData>
    <row r="1" ht="6.0" customHeight="1"/>
    <row r="2" ht="43.5" customHeight="1">
      <c r="B2" s="1" t="s">
        <v>161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.75" customHeight="1">
      <c r="B3" s="4" t="s">
        <v>162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ht="18.0" customHeight="1">
      <c r="B4" s="5" t="s">
        <v>2</v>
      </c>
      <c r="C4" s="6" t="s">
        <v>3</v>
      </c>
      <c r="D4" s="7" t="s">
        <v>4</v>
      </c>
      <c r="E4" s="8" t="s">
        <v>5</v>
      </c>
    </row>
    <row r="5" ht="7.5" customHeight="1"/>
    <row r="6" ht="21.75" customHeight="1">
      <c r="B6" s="9" t="s">
        <v>163</v>
      </c>
      <c r="C6" s="28" t="s">
        <v>140</v>
      </c>
      <c r="D6" s="15"/>
      <c r="E6" s="16"/>
      <c r="G6" s="28" t="s">
        <v>141</v>
      </c>
      <c r="H6" s="15"/>
      <c r="I6" s="16"/>
      <c r="K6" s="28" t="s">
        <v>142</v>
      </c>
      <c r="L6" s="15"/>
      <c r="M6" s="16"/>
      <c r="O6" s="9" t="s">
        <v>164</v>
      </c>
    </row>
    <row r="7" ht="18.0" customHeight="1">
      <c r="C7" s="36" t="s">
        <v>165</v>
      </c>
      <c r="D7" s="41" t="s">
        <v>166</v>
      </c>
      <c r="E7" s="42" t="s">
        <v>167</v>
      </c>
      <c r="G7" s="36" t="s">
        <v>165</v>
      </c>
      <c r="H7" s="41" t="s">
        <v>166</v>
      </c>
      <c r="I7" s="42" t="s">
        <v>167</v>
      </c>
      <c r="K7" s="36" t="s">
        <v>165</v>
      </c>
      <c r="L7" s="41" t="s">
        <v>166</v>
      </c>
      <c r="M7" s="42" t="s">
        <v>167</v>
      </c>
    </row>
    <row r="8" ht="18.0" customHeight="1">
      <c r="B8" s="14" t="s">
        <v>168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</row>
    <row r="9" ht="21.75" customHeight="1">
      <c r="B9" s="43" t="s">
        <v>169</v>
      </c>
      <c r="C9" s="30"/>
      <c r="D9" s="44"/>
      <c r="E9" s="44"/>
      <c r="G9" s="30"/>
      <c r="H9" s="44"/>
      <c r="I9" s="44"/>
      <c r="K9" s="30"/>
      <c r="L9" s="44"/>
      <c r="M9" s="44"/>
      <c r="O9" s="40" t="s">
        <v>170</v>
      </c>
    </row>
    <row r="10" ht="21.75" customHeight="1">
      <c r="B10" s="43" t="s">
        <v>171</v>
      </c>
      <c r="C10" s="30"/>
      <c r="D10" s="44"/>
      <c r="E10" s="44"/>
      <c r="G10" s="30"/>
      <c r="H10" s="44"/>
      <c r="I10" s="44"/>
      <c r="K10" s="30"/>
      <c r="L10" s="44"/>
      <c r="M10" s="44"/>
      <c r="O10" s="40" t="s">
        <v>170</v>
      </c>
    </row>
    <row r="11" ht="21.75" customHeight="1">
      <c r="B11" s="32" t="s">
        <v>172</v>
      </c>
      <c r="C11" s="45" t="str">
        <f>IF(AND(C9&lt;&gt;"",C10&lt;&gt;"",C10&lt;&gt;0),(C9-C10)/C10,"")</f>
        <v/>
      </c>
      <c r="D11" s="44"/>
      <c r="E11" s="44"/>
      <c r="G11" s="45" t="str">
        <f>IF(AND(G9&lt;&gt;"",G10&lt;&gt;"",G10&lt;&gt;0),(G9-G10)/G10,"")</f>
        <v/>
      </c>
      <c r="H11" s="44"/>
      <c r="I11" s="44"/>
      <c r="K11" s="45" t="str">
        <f>IF(AND(K9&lt;&gt;"",K10&lt;&gt;"",K10&lt;&gt;0),(K9-K10)/K10,"")</f>
        <v/>
      </c>
      <c r="L11" s="44"/>
      <c r="M11" s="44"/>
      <c r="O11" s="46" t="str">
        <f>IF(PERFIL="Deportista","&gt;15% excelente","&gt;10% excelente")</f>
        <v>&gt;10% excelente</v>
      </c>
    </row>
    <row r="12" ht="6.0" customHeight="1"/>
    <row r="13" ht="18.0" customHeight="1">
      <c r="B13" s="14" t="str">
        <f>IF(DJ_MODE="Bipodal","DROP JUMP  –  BIPODAL  · Tiempos de contacto y vuelo (ms)","DROP JUMP  –  UNIPODAL  · Tiempos de contacto y vuelo (ms)  · I / D")</f>
        <v>DROP JUMP  –  UNIPODAL  · Tiempos de contacto y vuelo (ms)  · I / D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</row>
    <row r="14" ht="15.75" customHeight="1">
      <c r="C14" s="36" t="str">
        <f>IF(DJ_MODE="Bipodal","B1 (ms)","I (ms)")</f>
        <v>I (ms)</v>
      </c>
      <c r="D14" s="47" t="str">
        <f>IF(DJ_MODE="Bipodal","B2 (ms)","D (ms)")</f>
        <v>D (ms)</v>
      </c>
      <c r="E14" s="41" t="s">
        <v>166</v>
      </c>
      <c r="G14" s="36" t="str">
        <f>IF(DJ_MODE="Bipodal","B1 (ms)","I (ms)")</f>
        <v>I (ms)</v>
      </c>
      <c r="H14" s="47" t="str">
        <f>IF(DJ_MODE="Bipodal","B2 (ms)","D (ms)")</f>
        <v>D (ms)</v>
      </c>
      <c r="I14" s="41" t="s">
        <v>166</v>
      </c>
      <c r="K14" s="36" t="str">
        <f>IF(DJ_MODE="Bipodal","B1 (ms)","I (ms)")</f>
        <v>I (ms)</v>
      </c>
      <c r="L14" s="47" t="str">
        <f>IF(DJ_MODE="Bipodal","B2 (ms)","D (ms)")</f>
        <v>D (ms)</v>
      </c>
      <c r="M14" s="41" t="s">
        <v>166</v>
      </c>
    </row>
    <row r="15" ht="21.75" customHeight="1">
      <c r="B15" s="18" t="s">
        <v>173</v>
      </c>
      <c r="C15" s="30"/>
      <c r="D15" s="30"/>
      <c r="E15" s="48" t="str">
        <f t="shared" ref="E15:E16" si="1">IF(AND(C15&lt;&gt;"",D15&lt;&gt;""),ABS(D15-C15)/MAX(C15,D15),"")</f>
        <v/>
      </c>
      <c r="G15" s="30"/>
      <c r="H15" s="30"/>
      <c r="I15" s="48" t="str">
        <f t="shared" ref="I15:I16" si="2">IF(AND(G15&lt;&gt;"",H15&lt;&gt;""),ABS(H15-G15)/MAX(G15,H15),"")</f>
        <v/>
      </c>
      <c r="K15" s="30"/>
      <c r="L15" s="30"/>
      <c r="M15" s="48" t="str">
        <f t="shared" ref="M15:M16" si="3">IF(AND(K15&lt;&gt;"",L15&lt;&gt;""),ABS(L15-K15)/MAX(K15,L15),"")</f>
        <v/>
      </c>
    </row>
    <row r="16" ht="21.75" customHeight="1">
      <c r="B16" s="18" t="s">
        <v>174</v>
      </c>
      <c r="C16" s="30"/>
      <c r="D16" s="30"/>
      <c r="E16" s="48" t="str">
        <f t="shared" si="1"/>
        <v/>
      </c>
      <c r="G16" s="30"/>
      <c r="H16" s="30"/>
      <c r="I16" s="48" t="str">
        <f t="shared" si="2"/>
        <v/>
      </c>
      <c r="K16" s="30"/>
      <c r="L16" s="30"/>
      <c r="M16" s="48" t="str">
        <f t="shared" si="3"/>
        <v/>
      </c>
    </row>
    <row r="17" ht="21.75" customHeight="1">
      <c r="B17" s="32" t="s">
        <v>175</v>
      </c>
      <c r="C17" s="49" t="str">
        <f>IF(AND(C16&lt;&gt;"",C15&lt;&gt;"",C15&lt;&gt;0),C16/C15,"")</f>
        <v/>
      </c>
      <c r="D17" s="49" t="str">
        <f>IF(AND(D16&lt;&gt;"",C15&lt;&gt;"",C15&lt;&gt;0),D16/C15,"")</f>
        <v/>
      </c>
      <c r="E17" s="44"/>
      <c r="G17" s="49" t="str">
        <f>IF(AND(G16&lt;&gt;"",G15&lt;&gt;"",G15&lt;&gt;0),G16/G15,"")</f>
        <v/>
      </c>
      <c r="H17" s="49" t="str">
        <f>IF(AND(H16&lt;&gt;"",G15&lt;&gt;"",G15&lt;&gt;0),H16/G15,"")</f>
        <v/>
      </c>
      <c r="I17" s="44"/>
      <c r="K17" s="49" t="str">
        <f>IF(AND(K16&lt;&gt;"",K15&lt;&gt;"",K15&lt;&gt;0),K16/K15,"")</f>
        <v/>
      </c>
      <c r="L17" s="49" t="str">
        <f>IF(AND(L16&lt;&gt;"",K15&lt;&gt;"",K15&lt;&gt;0),L16/K15,"")</f>
        <v/>
      </c>
      <c r="M17" s="44"/>
      <c r="O17" s="46" t="str">
        <f>IF(PERFIL="Deportista","&gt;1.50 excelente | 1.20–1.50 bueno","&gt;1.20 excelente | 1.00–1.20 bueno")</f>
        <v>&gt;1.20 excelente | 1.00–1.20 bueno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O2"/>
    <mergeCell ref="B3:O3"/>
    <mergeCell ref="C6:E6"/>
    <mergeCell ref="G6:I6"/>
    <mergeCell ref="K6:M6"/>
    <mergeCell ref="B8:M8"/>
    <mergeCell ref="B13:M13"/>
  </mergeCells>
  <conditionalFormatting sqref="E15:E16">
    <cfRule type="cellIs" dxfId="3" priority="1" operator="greaterThanOrEqual">
      <formula>0.2</formula>
    </cfRule>
  </conditionalFormatting>
  <conditionalFormatting sqref="E15:E16">
    <cfRule type="expression" dxfId="2" priority="2">
      <formula>AND(E15&gt;=0.15,E15&lt;0.2)</formula>
    </cfRule>
  </conditionalFormatting>
  <conditionalFormatting sqref="E15:E16">
    <cfRule type="expression" dxfId="1" priority="3">
      <formula>AND(E15&gt;=0.1,E15&lt;0.15)</formula>
    </cfRule>
  </conditionalFormatting>
  <conditionalFormatting sqref="E15:E16">
    <cfRule type="cellIs" dxfId="0" priority="4" operator="lessThan">
      <formula>0.1</formula>
    </cfRule>
  </conditionalFormatting>
  <conditionalFormatting sqref="I15:I16">
    <cfRule type="cellIs" dxfId="3" priority="5" operator="greaterThanOrEqual">
      <formula>0.2</formula>
    </cfRule>
  </conditionalFormatting>
  <conditionalFormatting sqref="I15:I16">
    <cfRule type="expression" dxfId="2" priority="6">
      <formula>AND(I15&gt;=0.15,I15&lt;0.2)</formula>
    </cfRule>
  </conditionalFormatting>
  <conditionalFormatting sqref="I15:I16">
    <cfRule type="expression" dxfId="1" priority="7">
      <formula>AND(I15&gt;=0.1,I15&lt;0.15)</formula>
    </cfRule>
  </conditionalFormatting>
  <conditionalFormatting sqref="I15:I16">
    <cfRule type="cellIs" dxfId="0" priority="8" operator="lessThan">
      <formula>0.1</formula>
    </cfRule>
  </conditionalFormatting>
  <conditionalFormatting sqref="M15:M16">
    <cfRule type="cellIs" dxfId="3" priority="9" operator="greaterThanOrEqual">
      <formula>0.2</formula>
    </cfRule>
  </conditionalFormatting>
  <conditionalFormatting sqref="M15:M16">
    <cfRule type="expression" dxfId="2" priority="10">
      <formula>AND(M15&gt;=0.15,M15&lt;0.2)</formula>
    </cfRule>
  </conditionalFormatting>
  <conditionalFormatting sqref="M15:M16">
    <cfRule type="expression" dxfId="1" priority="11">
      <formula>AND(M15&gt;=0.1,M15&lt;0.15)</formula>
    </cfRule>
  </conditionalFormatting>
  <conditionalFormatting sqref="M15:M16">
    <cfRule type="cellIs" dxfId="0" priority="12" operator="lessThan">
      <formula>0.1</formula>
    </cfRule>
  </conditionalFormatting>
  <printOptions/>
  <pageMargins bottom="1.0" footer="0.0" header="0.0" left="0.5" right="0.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pageSetUpPr fitToPage="1"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.0"/>
    <col customWidth="1" min="2" max="2" width="36.0"/>
    <col customWidth="1" min="3" max="4" width="14.0"/>
    <col customWidth="1" min="5" max="5" width="15.0"/>
    <col customWidth="1" min="6" max="6" width="2.0"/>
    <col customWidth="1" min="7" max="8" width="14.0"/>
    <col customWidth="1" min="9" max="9" width="15.0"/>
    <col customWidth="1" min="10" max="10" width="2.0"/>
    <col customWidth="1" min="11" max="12" width="14.0"/>
    <col customWidth="1" min="13" max="13" width="15.0"/>
    <col customWidth="1" min="14" max="14" width="2.0"/>
    <col customWidth="1" min="15" max="15" width="30.0"/>
    <col customWidth="1" min="16" max="26" width="8.71"/>
  </cols>
  <sheetData>
    <row r="1" ht="6.0" customHeight="1"/>
    <row r="2" ht="43.5" customHeight="1">
      <c r="B2" s="1" t="s">
        <v>176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.75" customHeight="1">
      <c r="B3" s="4" t="s">
        <v>177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ht="18.0" customHeight="1">
      <c r="B4" s="5" t="s">
        <v>2</v>
      </c>
      <c r="C4" s="6" t="s">
        <v>3</v>
      </c>
      <c r="D4" s="7" t="s">
        <v>4</v>
      </c>
      <c r="E4" s="8" t="s">
        <v>5</v>
      </c>
    </row>
    <row r="5" ht="7.5" customHeight="1"/>
    <row r="6" ht="21.75" customHeight="1">
      <c r="B6" s="9" t="s">
        <v>121</v>
      </c>
      <c r="C6" s="28" t="s">
        <v>140</v>
      </c>
      <c r="D6" s="15"/>
      <c r="E6" s="16"/>
      <c r="G6" s="28" t="s">
        <v>141</v>
      </c>
      <c r="H6" s="15"/>
      <c r="I6" s="16"/>
      <c r="K6" s="28" t="s">
        <v>142</v>
      </c>
      <c r="L6" s="15"/>
      <c r="M6" s="16"/>
      <c r="O6" s="9" t="s">
        <v>178</v>
      </c>
    </row>
    <row r="7" ht="15.75" customHeight="1">
      <c r="C7" s="36" t="s">
        <v>179</v>
      </c>
      <c r="D7" s="47" t="s">
        <v>180</v>
      </c>
      <c r="E7" s="41" t="s">
        <v>181</v>
      </c>
      <c r="G7" s="36" t="s">
        <v>179</v>
      </c>
      <c r="H7" s="47" t="s">
        <v>180</v>
      </c>
      <c r="I7" s="41" t="s">
        <v>181</v>
      </c>
      <c r="K7" s="36" t="s">
        <v>179</v>
      </c>
      <c r="L7" s="47" t="s">
        <v>180</v>
      </c>
      <c r="M7" s="41" t="s">
        <v>181</v>
      </c>
    </row>
    <row r="8" ht="21.75" customHeight="1">
      <c r="B8" s="18" t="s">
        <v>182</v>
      </c>
      <c r="C8" s="30"/>
      <c r="D8" s="30"/>
      <c r="E8" s="48" t="str">
        <f t="shared" ref="E8:E11" si="1">IF(AND(C8&lt;&gt;"",D8&lt;&gt;""),MIN(C8,D8)/MAX(C8,D8),"")</f>
        <v/>
      </c>
      <c r="G8" s="30"/>
      <c r="H8" s="30"/>
      <c r="I8" s="48" t="str">
        <f t="shared" ref="I8:I11" si="2">IF(AND(G8&lt;&gt;"",H8&lt;&gt;""),MIN(G8,H8)/MAX(G8,H8),"")</f>
        <v/>
      </c>
      <c r="K8" s="30"/>
      <c r="L8" s="30"/>
      <c r="M8" s="48" t="str">
        <f t="shared" ref="M8:M11" si="3">IF(AND(K8&lt;&gt;"",L8&lt;&gt;""),MIN(K8,L8)/MAX(K8,L8),"")</f>
        <v/>
      </c>
      <c r="O8" s="40" t="s">
        <v>183</v>
      </c>
    </row>
    <row r="9" ht="21.75" customHeight="1">
      <c r="B9" s="50" t="s">
        <v>184</v>
      </c>
      <c r="C9" s="30"/>
      <c r="D9" s="30"/>
      <c r="E9" s="48" t="str">
        <f t="shared" si="1"/>
        <v/>
      </c>
      <c r="G9" s="30"/>
      <c r="H9" s="30"/>
      <c r="I9" s="48" t="str">
        <f t="shared" si="2"/>
        <v/>
      </c>
      <c r="K9" s="30"/>
      <c r="L9" s="30"/>
      <c r="M9" s="48" t="str">
        <f t="shared" si="3"/>
        <v/>
      </c>
      <c r="O9" s="40" t="s">
        <v>183</v>
      </c>
    </row>
    <row r="10" ht="21.75" customHeight="1">
      <c r="B10" s="50" t="s">
        <v>185</v>
      </c>
      <c r="C10" s="30"/>
      <c r="D10" s="30"/>
      <c r="E10" s="48" t="str">
        <f t="shared" si="1"/>
        <v/>
      </c>
      <c r="G10" s="30"/>
      <c r="H10" s="30"/>
      <c r="I10" s="48" t="str">
        <f t="shared" si="2"/>
        <v/>
      </c>
      <c r="K10" s="30"/>
      <c r="L10" s="30"/>
      <c r="M10" s="48" t="str">
        <f t="shared" si="3"/>
        <v/>
      </c>
      <c r="O10" s="40" t="s">
        <v>183</v>
      </c>
    </row>
    <row r="11" ht="21.75" customHeight="1">
      <c r="B11" s="50" t="s">
        <v>186</v>
      </c>
      <c r="C11" s="30"/>
      <c r="D11" s="30"/>
      <c r="E11" s="48" t="str">
        <f t="shared" si="1"/>
        <v/>
      </c>
      <c r="G11" s="30"/>
      <c r="H11" s="30"/>
      <c r="I11" s="48" t="str">
        <f t="shared" si="2"/>
        <v/>
      </c>
      <c r="K11" s="30"/>
      <c r="L11" s="30"/>
      <c r="M11" s="48" t="str">
        <f t="shared" si="3"/>
        <v/>
      </c>
      <c r="O11" s="40" t="s">
        <v>187</v>
      </c>
    </row>
    <row r="12" ht="6.0" customHeight="1"/>
    <row r="13" ht="18.0" customHeight="1">
      <c r="B13" s="14" t="s">
        <v>188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</row>
    <row r="14" ht="21.75" customHeight="1">
      <c r="B14" s="32" t="s">
        <v>189</v>
      </c>
      <c r="C14" s="49" t="str">
        <f>IF(AND(C8&lt;&gt;"",ALTURA_CM&lt;&gt;"",ALTURA_CM&lt;&gt;0),C8/ALTURA_CM,"")</f>
        <v/>
      </c>
      <c r="D14" s="49" t="str">
        <f>IF(AND(D8&lt;&gt;"",ALTURA_CM&lt;&gt;"",ALTURA_CM&lt;&gt;0),D8/ALTURA_CM,"")</f>
        <v/>
      </c>
      <c r="E14" s="44"/>
      <c r="G14" s="49" t="str">
        <f>IF(AND(G8&lt;&gt;"",ALTURA_CM&lt;&gt;"",ALTURA_CM&lt;&gt;0),G8/ALTURA_CM,"")</f>
        <v/>
      </c>
      <c r="H14" s="49" t="str">
        <f>IF(AND(H8&lt;&gt;"",ALTURA_CM&lt;&gt;"",ALTURA_CM&lt;&gt;0),H8/ALTURA_CM,"")</f>
        <v/>
      </c>
      <c r="I14" s="44"/>
      <c r="K14" s="49" t="str">
        <f>IF(AND(K8&lt;&gt;"",ALTURA_CM&lt;&gt;"",ALTURA_CM&lt;&gt;0),K8/ALTURA_CM,"")</f>
        <v/>
      </c>
      <c r="L14" s="49" t="str">
        <f>IF(AND(L8&lt;&gt;"",ALTURA_CM&lt;&gt;"",ALTURA_CM&lt;&gt;0),L8/ALTURA_CM,"")</f>
        <v/>
      </c>
      <c r="M14" s="44"/>
      <c r="O14" s="46" t="str">
        <f>IF(PERFIL="Deportista","&gt;1.20× 🟢 | 1.00–1.20 🟡 | 0.85–1.00 🟠","&gt;1.00× 🟢 | 0.85–1.00 🟡 | 0.70–0.85 🟠")</f>
        <v>&gt;1.00× 🟢 | 0.85–1.00 🟡 | 0.70–0.85 🟠</v>
      </c>
    </row>
    <row r="15" ht="21.75" customHeight="1">
      <c r="B15" s="32" t="s">
        <v>190</v>
      </c>
      <c r="C15" s="49" t="str">
        <f>IF(AND(C9&lt;&gt;"",ALTURA_CM&lt;&gt;"",ALTURA_CM&lt;&gt;0),C9/ALTURA_CM,"")</f>
        <v/>
      </c>
      <c r="D15" s="49" t="str">
        <f>IF(AND(D9&lt;&gt;"",ALTURA_CM&lt;&gt;"",ALTURA_CM&lt;&gt;0),D9/ALTURA_CM,"")</f>
        <v/>
      </c>
      <c r="E15" s="44"/>
      <c r="G15" s="49" t="str">
        <f>IF(AND(G9&lt;&gt;"",ALTURA_CM&lt;&gt;"",ALTURA_CM&lt;&gt;0),G9/ALTURA_CM,"")</f>
        <v/>
      </c>
      <c r="H15" s="49" t="str">
        <f>IF(AND(H9&lt;&gt;"",ALTURA_CM&lt;&gt;"",ALTURA_CM&lt;&gt;0),H9/ALTURA_CM,"")</f>
        <v/>
      </c>
      <c r="I15" s="44"/>
      <c r="K15" s="49" t="str">
        <f>IF(AND(K9&lt;&gt;"",ALTURA_CM&lt;&gt;"",ALTURA_CM&lt;&gt;0),K9/ALTURA_CM,"")</f>
        <v/>
      </c>
      <c r="L15" s="49" t="str">
        <f>IF(AND(L9&lt;&gt;"",ALTURA_CM&lt;&gt;"",ALTURA_CM&lt;&gt;0),L9/ALTURA_CM,"")</f>
        <v/>
      </c>
      <c r="M15" s="44"/>
      <c r="O15" s="46" t="str">
        <f>IF(PERFIL="Deportista","&gt;1.20× 🟢 | 1.00–1.20 🟡 | 0.85–1.00 🟠","&gt;1.00× 🟢 | 0.85–1.00 🟡 | 0.70–0.85 🟠")</f>
        <v>&gt;1.00× 🟢 | 0.85–1.00 🟡 | 0.70–0.85 🟠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O2"/>
    <mergeCell ref="B3:O3"/>
    <mergeCell ref="C6:E6"/>
    <mergeCell ref="G6:I6"/>
    <mergeCell ref="K6:M6"/>
    <mergeCell ref="B13:M13"/>
  </mergeCells>
  <conditionalFormatting sqref="E8:E11">
    <cfRule type="cellIs" dxfId="0" priority="1" operator="greaterThanOrEqual">
      <formula>0.9</formula>
    </cfRule>
  </conditionalFormatting>
  <conditionalFormatting sqref="E8:E11">
    <cfRule type="expression" dxfId="1" priority="2">
      <formula>AND(E8&gt;=0.85,E8&lt;0.9)</formula>
    </cfRule>
  </conditionalFormatting>
  <conditionalFormatting sqref="E8:E11">
    <cfRule type="expression" dxfId="2" priority="3">
      <formula>AND(E8&gt;=0.8,E8&lt;0.85)</formula>
    </cfRule>
  </conditionalFormatting>
  <conditionalFormatting sqref="E8:E11">
    <cfRule type="cellIs" dxfId="3" priority="4" operator="lessThan">
      <formula>0.8</formula>
    </cfRule>
  </conditionalFormatting>
  <conditionalFormatting sqref="I8:I11">
    <cfRule type="cellIs" dxfId="0" priority="5" operator="greaterThanOrEqual">
      <formula>0.9</formula>
    </cfRule>
  </conditionalFormatting>
  <conditionalFormatting sqref="I8:I11">
    <cfRule type="expression" dxfId="1" priority="6">
      <formula>AND(I8&gt;=0.85,I8&lt;0.9)</formula>
    </cfRule>
  </conditionalFormatting>
  <conditionalFormatting sqref="I8:I11">
    <cfRule type="expression" dxfId="2" priority="7">
      <formula>AND(I8&gt;=0.8,I8&lt;0.85)</formula>
    </cfRule>
  </conditionalFormatting>
  <conditionalFormatting sqref="I8:I11">
    <cfRule type="cellIs" dxfId="3" priority="8" operator="lessThan">
      <formula>0.8</formula>
    </cfRule>
  </conditionalFormatting>
  <conditionalFormatting sqref="M8:M11">
    <cfRule type="cellIs" dxfId="0" priority="9" operator="greaterThanOrEqual">
      <formula>0.9</formula>
    </cfRule>
  </conditionalFormatting>
  <conditionalFormatting sqref="M8:M11">
    <cfRule type="expression" dxfId="1" priority="10">
      <formula>AND(M8&gt;=0.85,M8&lt;0.9)</formula>
    </cfRule>
  </conditionalFormatting>
  <conditionalFormatting sqref="M8:M11">
    <cfRule type="expression" dxfId="2" priority="11">
      <formula>AND(M8&gt;=0.8,M8&lt;0.85)</formula>
    </cfRule>
  </conditionalFormatting>
  <conditionalFormatting sqref="M8:M11">
    <cfRule type="cellIs" dxfId="3" priority="12" operator="lessThan">
      <formula>0.8</formula>
    </cfRule>
  </conditionalFormatting>
  <printOptions/>
  <pageMargins bottom="1.0" footer="0.0" header="0.0" left="0.5" right="0.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1C1C"/>
    <pageSetUpPr fitToPage="1"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4" width="14.0"/>
    <col customWidth="1" min="5" max="5" width="15.0"/>
    <col customWidth="1" min="6" max="6" width="2.0"/>
    <col customWidth="1" min="7" max="8" width="14.0"/>
    <col customWidth="1" min="9" max="9" width="15.0"/>
    <col customWidth="1" min="10" max="10" width="2.0"/>
    <col customWidth="1" min="11" max="12" width="14.0"/>
    <col customWidth="1" min="13" max="13" width="15.0"/>
    <col customWidth="1" min="14" max="14" width="2.0"/>
    <col customWidth="1" min="15" max="15" width="32.0"/>
    <col customWidth="1" min="16" max="26" width="8.71"/>
  </cols>
  <sheetData>
    <row r="1" ht="6.0" customHeight="1"/>
    <row r="2" ht="43.5" customHeight="1">
      <c r="B2" s="1" t="s">
        <v>191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.75" customHeight="1">
      <c r="B3" s="4" t="s">
        <v>192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ht="18.0" customHeight="1">
      <c r="B4" s="5" t="s">
        <v>2</v>
      </c>
      <c r="C4" s="6" t="s">
        <v>3</v>
      </c>
      <c r="D4" s="7" t="s">
        <v>4</v>
      </c>
      <c r="E4" s="8" t="s">
        <v>5</v>
      </c>
    </row>
    <row r="5" ht="7.5" customHeight="1"/>
    <row r="6" ht="21.75" customHeight="1">
      <c r="B6" s="9" t="s">
        <v>193</v>
      </c>
      <c r="C6" s="28" t="s">
        <v>140</v>
      </c>
      <c r="D6" s="15"/>
      <c r="E6" s="16"/>
      <c r="G6" s="28" t="s">
        <v>141</v>
      </c>
      <c r="H6" s="15"/>
      <c r="I6" s="16"/>
      <c r="K6" s="28" t="s">
        <v>142</v>
      </c>
      <c r="L6" s="15"/>
      <c r="M6" s="16"/>
      <c r="O6" s="9" t="s">
        <v>164</v>
      </c>
    </row>
    <row r="7" ht="15.75" customHeight="1">
      <c r="C7" s="36" t="s">
        <v>194</v>
      </c>
      <c r="D7" s="47" t="s">
        <v>195</v>
      </c>
      <c r="E7" s="41" t="s">
        <v>196</v>
      </c>
      <c r="G7" s="36" t="s">
        <v>194</v>
      </c>
      <c r="H7" s="47" t="s">
        <v>195</v>
      </c>
      <c r="I7" s="41" t="s">
        <v>196</v>
      </c>
      <c r="K7" s="36" t="s">
        <v>194</v>
      </c>
      <c r="L7" s="47" t="s">
        <v>195</v>
      </c>
      <c r="M7" s="41" t="s">
        <v>196</v>
      </c>
    </row>
    <row r="8" ht="18.0" customHeight="1">
      <c r="B8" s="14" t="s">
        <v>197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</row>
    <row r="9" ht="21.75" customHeight="1">
      <c r="B9" s="18" t="s">
        <v>198</v>
      </c>
      <c r="C9" s="30"/>
      <c r="D9" s="30"/>
      <c r="E9" s="48" t="str">
        <f t="shared" ref="E9:E10" si="1">IF(AND(C9&lt;&gt;"",D9&lt;&gt;""),ABS(D9-C9)/MAX(C9,D9),"")</f>
        <v/>
      </c>
      <c r="G9" s="30"/>
      <c r="H9" s="30"/>
      <c r="I9" s="48" t="str">
        <f t="shared" ref="I9:I10" si="2">IF(AND(G9&lt;&gt;"",H9&lt;&gt;""),ABS(H9-G9)/MAX(G9,H9),"")</f>
        <v/>
      </c>
      <c r="K9" s="30"/>
      <c r="L9" s="30"/>
      <c r="M9" s="48" t="str">
        <f t="shared" ref="M9:M10" si="3">IF(AND(K9&lt;&gt;"",L9&lt;&gt;""),ABS(L9-K9)/MAX(K9,L9),"")</f>
        <v/>
      </c>
      <c r="O9" s="40" t="s">
        <v>199</v>
      </c>
    </row>
    <row r="10" ht="21.75" customHeight="1">
      <c r="B10" s="18" t="s">
        <v>200</v>
      </c>
      <c r="C10" s="30"/>
      <c r="D10" s="30"/>
      <c r="E10" s="48" t="str">
        <f t="shared" si="1"/>
        <v/>
      </c>
      <c r="G10" s="30"/>
      <c r="H10" s="30"/>
      <c r="I10" s="48" t="str">
        <f t="shared" si="2"/>
        <v/>
      </c>
      <c r="K10" s="30"/>
      <c r="L10" s="30"/>
      <c r="M10" s="48" t="str">
        <f t="shared" si="3"/>
        <v/>
      </c>
      <c r="O10" s="40" t="s">
        <v>199</v>
      </c>
    </row>
    <row r="11" ht="6.0" customHeight="1"/>
    <row r="12" ht="19.5" customHeight="1">
      <c r="B12" s="51" t="s">
        <v>201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6"/>
    </row>
    <row r="13" ht="21.75" customHeight="1">
      <c r="B13" s="32" t="s">
        <v>202</v>
      </c>
      <c r="C13" s="49" t="str">
        <f t="shared" ref="C13:D13" si="4">IF(AND(C9&lt;&gt;"",C10&lt;&gt;"",C9&lt;&gt;0),C10/C9,"")</f>
        <v/>
      </c>
      <c r="D13" s="49" t="str">
        <f t="shared" si="4"/>
        <v/>
      </c>
      <c r="E13" s="44"/>
      <c r="G13" s="49" t="str">
        <f t="shared" ref="G13:H13" si="5">IF(AND(G9&lt;&gt;"",G10&lt;&gt;"",G9&lt;&gt;0),G10/G9,"")</f>
        <v/>
      </c>
      <c r="H13" s="49" t="str">
        <f t="shared" si="5"/>
        <v/>
      </c>
      <c r="I13" s="44"/>
      <c r="K13" s="49" t="str">
        <f t="shared" ref="K13:L13" si="6">IF(AND(K9&lt;&gt;"",K10&lt;&gt;"",K9&lt;&gt;0),K10/K9,"")</f>
        <v/>
      </c>
      <c r="L13" s="49" t="str">
        <f t="shared" si="6"/>
        <v/>
      </c>
      <c r="M13" s="44"/>
      <c r="O13" s="46" t="str">
        <f>IF(AND(SEXO="Masculino",PERFIL="Deportista"),"Masc+Dep: &gt;0.65 🟢",IF(AND(SEXO="Masculino"),"Masc: &gt;0.60 🟢",IF(AND(PERFIL="Deportista"),"Fem+Dep: &gt;0.60 🟢","Fem: &gt;0.55 🟢")))</f>
        <v>Fem: &gt;0.55 🟢</v>
      </c>
    </row>
    <row r="14" ht="6.0" customHeight="1"/>
    <row r="15" ht="18.0" customHeight="1">
      <c r="B15" s="14" t="s">
        <v>203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</row>
    <row r="16" ht="21.75" customHeight="1">
      <c r="B16" s="32" t="s">
        <v>204</v>
      </c>
      <c r="C16" s="49" t="str">
        <f>IF(AND(C9&lt;&gt;"",PESO_KG&lt;&gt;"",PESO_KG&lt;&gt;0),C9/PESO_KG,"")</f>
        <v/>
      </c>
      <c r="D16" s="49" t="str">
        <f>IF(AND(D9&lt;&gt;"",PESO_KG&lt;&gt;"",PESO_KG&lt;&gt;0),D9/PESO_KG,"")</f>
        <v/>
      </c>
      <c r="E16" s="44"/>
      <c r="G16" s="49" t="str">
        <f>IF(AND(G9&lt;&gt;"",PESO_KG&lt;&gt;"",PESO_KG&lt;&gt;0),G9/PESO_KG,"")</f>
        <v/>
      </c>
      <c r="H16" s="49" t="str">
        <f>IF(AND(H9&lt;&gt;"",PESO_KG&lt;&gt;"",PESO_KG&lt;&gt;0),H9/PESO_KG,"")</f>
        <v/>
      </c>
      <c r="I16" s="44"/>
      <c r="K16" s="49" t="str">
        <f>IF(AND(K9&lt;&gt;"",PESO_KG&lt;&gt;"",PESO_KG&lt;&gt;0),K9/PESO_KG,"")</f>
        <v/>
      </c>
      <c r="L16" s="49" t="str">
        <f>IF(AND(L9&lt;&gt;"",PESO_KG&lt;&gt;"",PESO_KG&lt;&gt;0),L9/PESO_KG,"")</f>
        <v/>
      </c>
      <c r="M16" s="44"/>
      <c r="O16" s="46" t="str">
        <f>IF(AND(SEXO="Masculino",PERFIL="Deportista"),"&gt;3.0 🟢 | 2.5–3.0 🟡 | 2.0–2.5 🟠",IF(SEXO="Masculino","&gt;2.5 🟢 | 2.0–2.5 🟡 | 1.5–2.0 🟠",IF(PERFIL="Deportista","&gt;2.5 🟢 | 2.0–2.5 🟡 | 1.5–2.0 🟠","&gt;2.0 🟢 | 1.6–2.0 🟡 | 1.2–1.6 🟠")))</f>
        <v>&gt;2.0 🟢 | 1.6–2.0 🟡 | 1.2–1.6 🟠</v>
      </c>
    </row>
    <row r="17" ht="21.75" customHeight="1">
      <c r="B17" s="32" t="s">
        <v>205</v>
      </c>
      <c r="C17" s="49" t="str">
        <f>IF(AND(C10&lt;&gt;"",PESO_KG&lt;&gt;"",PESO_KG&lt;&gt;0),C10/PESO_KG,"")</f>
        <v/>
      </c>
      <c r="D17" s="49" t="str">
        <f>IF(AND(D10&lt;&gt;"",PESO_KG&lt;&gt;"",PESO_KG&lt;&gt;0),D10/PESO_KG,"")</f>
        <v/>
      </c>
      <c r="E17" s="44"/>
      <c r="G17" s="49" t="str">
        <f>IF(AND(G10&lt;&gt;"",PESO_KG&lt;&gt;"",PESO_KG&lt;&gt;0),G10/PESO_KG,"")</f>
        <v/>
      </c>
      <c r="H17" s="49" t="str">
        <f>IF(AND(H10&lt;&gt;"",PESO_KG&lt;&gt;"",PESO_KG&lt;&gt;0),H10/PESO_KG,"")</f>
        <v/>
      </c>
      <c r="I17" s="44"/>
      <c r="K17" s="49" t="str">
        <f>IF(AND(K10&lt;&gt;"",PESO_KG&lt;&gt;"",PESO_KG&lt;&gt;0),K10/PESO_KG,"")</f>
        <v/>
      </c>
      <c r="L17" s="49" t="str">
        <f>IF(AND(L10&lt;&gt;"",PESO_KG&lt;&gt;"",PESO_KG&lt;&gt;0),L10/PESO_KG,"")</f>
        <v/>
      </c>
      <c r="M17" s="44"/>
      <c r="O17" s="46" t="str">
        <f>IF(AND(SEXO="Masculino",PERFIL="Deportista"),"&gt;3.0 🟢 | 2.5–3.0 🟡 | 2.0–2.5 🟠",IF(SEXO="Masculino","&gt;2.5 🟢 | 2.0–2.5 🟡 | 1.5–2.0 🟠",IF(PERFIL="Deportista","&gt;2.5 🟢 | 2.0–2.5 🟡 | 1.5–2.0 🟠","&gt;2.0 🟢 | 1.6–2.0 🟡 | 1.2–1.6 🟠")))</f>
        <v>&gt;2.0 🟢 | 1.6–2.0 🟡 | 1.2–1.6 🟠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O2"/>
    <mergeCell ref="B3:O3"/>
    <mergeCell ref="C6:E6"/>
    <mergeCell ref="G6:I6"/>
    <mergeCell ref="K6:M6"/>
    <mergeCell ref="B8:M8"/>
    <mergeCell ref="B12:M12"/>
    <mergeCell ref="B15:M15"/>
  </mergeCells>
  <conditionalFormatting sqref="E9:E10">
    <cfRule type="cellIs" dxfId="3" priority="1" operator="greaterThanOrEqual">
      <formula>0.2</formula>
    </cfRule>
  </conditionalFormatting>
  <conditionalFormatting sqref="E9:E10">
    <cfRule type="expression" dxfId="2" priority="2">
      <formula>AND(E9&gt;=0.15,E9&lt;0.2)</formula>
    </cfRule>
  </conditionalFormatting>
  <conditionalFormatting sqref="E9:E10">
    <cfRule type="expression" dxfId="1" priority="3">
      <formula>AND(E9&gt;=0.1,E9&lt;0.15)</formula>
    </cfRule>
  </conditionalFormatting>
  <conditionalFormatting sqref="E9:E10">
    <cfRule type="cellIs" dxfId="0" priority="4" operator="lessThan">
      <formula>0.1</formula>
    </cfRule>
  </conditionalFormatting>
  <conditionalFormatting sqref="I9:I10">
    <cfRule type="cellIs" dxfId="3" priority="5" operator="greaterThanOrEqual">
      <formula>0.2</formula>
    </cfRule>
  </conditionalFormatting>
  <conditionalFormatting sqref="I9:I10">
    <cfRule type="expression" dxfId="2" priority="6">
      <formula>AND(I9&gt;=0.15,I9&lt;0.2)</formula>
    </cfRule>
  </conditionalFormatting>
  <conditionalFormatting sqref="I9:I10">
    <cfRule type="expression" dxfId="1" priority="7">
      <formula>AND(I9&gt;=0.1,I9&lt;0.15)</formula>
    </cfRule>
  </conditionalFormatting>
  <conditionalFormatting sqref="I9:I10">
    <cfRule type="cellIs" dxfId="0" priority="8" operator="lessThan">
      <formula>0.1</formula>
    </cfRule>
  </conditionalFormatting>
  <conditionalFormatting sqref="M9:M10">
    <cfRule type="cellIs" dxfId="3" priority="9" operator="greaterThanOrEqual">
      <formula>0.2</formula>
    </cfRule>
  </conditionalFormatting>
  <conditionalFormatting sqref="M9:M10">
    <cfRule type="expression" dxfId="2" priority="10">
      <formula>AND(M9&gt;=0.15,M9&lt;0.2)</formula>
    </cfRule>
  </conditionalFormatting>
  <conditionalFormatting sqref="M9:M10">
    <cfRule type="expression" dxfId="1" priority="11">
      <formula>AND(M9&gt;=0.1,M9&lt;0.15)</formula>
    </cfRule>
  </conditionalFormatting>
  <conditionalFormatting sqref="M9:M10">
    <cfRule type="cellIs" dxfId="0" priority="12" operator="lessThan">
      <formula>0.1</formula>
    </cfRule>
  </conditionalFormatting>
  <printOptions/>
  <pageMargins bottom="1.0" footer="0.0" header="0.0" left="0.5" right="0.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400E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36.0"/>
    <col customWidth="1" min="3" max="5" width="16.0"/>
    <col customWidth="1" min="6" max="6" width="3.0"/>
    <col customWidth="1" min="7" max="7" width="28.0"/>
    <col customWidth="1" min="8" max="26" width="8.71"/>
  </cols>
  <sheetData>
    <row r="1" ht="6.0" customHeight="1"/>
    <row r="2" ht="43.5" customHeight="1">
      <c r="B2" s="1" t="s">
        <v>206</v>
      </c>
      <c r="C2" s="2"/>
      <c r="D2" s="2"/>
      <c r="E2" s="2"/>
      <c r="F2" s="2"/>
      <c r="G2" s="3"/>
    </row>
    <row r="3" ht="3.75" customHeight="1">
      <c r="B3" s="4" t="s">
        <v>207</v>
      </c>
      <c r="C3" s="2"/>
      <c r="D3" s="2"/>
      <c r="E3" s="2"/>
      <c r="F3" s="2"/>
      <c r="G3" s="3"/>
    </row>
    <row r="4" ht="18.0" customHeight="1">
      <c r="B4" s="5" t="s">
        <v>2</v>
      </c>
      <c r="C4" s="6" t="s">
        <v>3</v>
      </c>
      <c r="D4" s="7" t="s">
        <v>4</v>
      </c>
      <c r="E4" s="8" t="s">
        <v>5</v>
      </c>
    </row>
    <row r="5" ht="7.5" customHeight="1"/>
    <row r="6" ht="21.75" customHeight="1">
      <c r="B6" s="9" t="s">
        <v>6</v>
      </c>
      <c r="C6" s="34" t="s">
        <v>122</v>
      </c>
      <c r="D6" s="34" t="s">
        <v>123</v>
      </c>
      <c r="E6" s="34" t="s">
        <v>124</v>
      </c>
      <c r="G6" s="9" t="s">
        <v>208</v>
      </c>
    </row>
    <row r="7" ht="21.75" customHeight="1">
      <c r="B7" s="14" t="s">
        <v>209</v>
      </c>
      <c r="C7" s="15"/>
      <c r="D7" s="15"/>
      <c r="E7" s="16"/>
      <c r="G7" s="17"/>
    </row>
    <row r="8" ht="21.75" customHeight="1">
      <c r="B8" s="18" t="s">
        <v>210</v>
      </c>
      <c r="C8" s="30"/>
      <c r="D8" s="30"/>
      <c r="E8" s="30"/>
      <c r="G8" s="52" t="s">
        <v>211</v>
      </c>
    </row>
    <row r="9" ht="21.75" customHeight="1">
      <c r="B9" s="18" t="s">
        <v>128</v>
      </c>
      <c r="C9" s="30"/>
      <c r="D9" s="30"/>
      <c r="E9" s="30"/>
      <c r="G9" s="52" t="s">
        <v>211</v>
      </c>
    </row>
    <row r="10" ht="21.75" customHeight="1">
      <c r="B10" s="18" t="s">
        <v>212</v>
      </c>
      <c r="C10" s="30"/>
      <c r="D10" s="30"/>
      <c r="E10" s="30"/>
      <c r="G10" s="52" t="s">
        <v>211</v>
      </c>
    </row>
    <row r="11" ht="21.75" customHeight="1">
      <c r="B11" s="18" t="s">
        <v>213</v>
      </c>
      <c r="C11" s="30"/>
      <c r="D11" s="30"/>
      <c r="E11" s="30"/>
      <c r="G11" s="52" t="s">
        <v>211</v>
      </c>
    </row>
    <row r="12" ht="21.75" customHeight="1">
      <c r="B12" s="14" t="s">
        <v>214</v>
      </c>
      <c r="C12" s="15"/>
      <c r="D12" s="15"/>
      <c r="E12" s="16"/>
      <c r="G12" s="17"/>
    </row>
    <row r="13" ht="21.75" customHeight="1">
      <c r="B13" s="18" t="s">
        <v>215</v>
      </c>
      <c r="C13" s="30"/>
      <c r="D13" s="30"/>
      <c r="E13" s="30"/>
      <c r="G13" s="52" t="str">
        <f>IF(PERFIL="Deportista","&gt;15% 🟢","&gt;10% 🟢")</f>
        <v>&gt;10% 🟢</v>
      </c>
    </row>
    <row r="14" ht="21.75" customHeight="1">
      <c r="B14" s="18" t="s">
        <v>216</v>
      </c>
      <c r="C14" s="30"/>
      <c r="D14" s="30"/>
      <c r="E14" s="30"/>
      <c r="G14" s="52" t="str">
        <f>IF(PERFIL="Deportista","&gt;1.50 🟢","&gt;1.20 🟢")</f>
        <v>&gt;1.20 🟢</v>
      </c>
    </row>
    <row r="15" ht="21.75" customHeight="1">
      <c r="B15" s="18" t="s">
        <v>217</v>
      </c>
      <c r="C15" s="30"/>
      <c r="D15" s="30"/>
      <c r="E15" s="30"/>
      <c r="G15" s="52" t="str">
        <f>IF(PERFIL="Deportista","&gt;1.50 🟢","&gt;1.20 🟢")</f>
        <v>&gt;1.20 🟢</v>
      </c>
    </row>
    <row r="16" ht="21.75" customHeight="1">
      <c r="B16" s="18" t="s">
        <v>218</v>
      </c>
      <c r="C16" s="30"/>
      <c r="D16" s="30"/>
      <c r="E16" s="30"/>
      <c r="G16" s="52" t="s">
        <v>219</v>
      </c>
    </row>
    <row r="17" ht="21.75" customHeight="1">
      <c r="B17" s="14" t="s">
        <v>220</v>
      </c>
      <c r="C17" s="15"/>
      <c r="D17" s="15"/>
      <c r="E17" s="16"/>
      <c r="G17" s="17"/>
    </row>
    <row r="18" ht="21.75" customHeight="1">
      <c r="B18" s="18" t="s">
        <v>221</v>
      </c>
      <c r="C18" s="30"/>
      <c r="D18" s="30"/>
      <c r="E18" s="30"/>
      <c r="G18" s="52" t="s">
        <v>222</v>
      </c>
    </row>
    <row r="19" ht="21.75" customHeight="1">
      <c r="B19" s="18" t="s">
        <v>223</v>
      </c>
      <c r="C19" s="30"/>
      <c r="D19" s="30"/>
      <c r="E19" s="30"/>
      <c r="G19" s="52" t="s">
        <v>222</v>
      </c>
    </row>
    <row r="20" ht="21.75" customHeight="1">
      <c r="B20" s="18" t="s">
        <v>224</v>
      </c>
      <c r="C20" s="30"/>
      <c r="D20" s="30"/>
      <c r="E20" s="30"/>
      <c r="G20" s="52" t="str">
        <f>IF(PERFIL="Deportista","&gt;1.20 🟢","&gt;1.00 🟢")</f>
        <v>&gt;1.00 🟢</v>
      </c>
    </row>
    <row r="21" ht="21.75" customHeight="1">
      <c r="B21" s="18" t="s">
        <v>225</v>
      </c>
      <c r="C21" s="30"/>
      <c r="D21" s="30"/>
      <c r="E21" s="30"/>
      <c r="G21" s="52" t="str">
        <f>IF(PERFIL="Deportista","&gt;1.20 🟢","&gt;1.00 🟢")</f>
        <v>&gt;1.00 🟢</v>
      </c>
    </row>
    <row r="22" ht="21.75" customHeight="1">
      <c r="B22" s="14" t="s">
        <v>226</v>
      </c>
      <c r="C22" s="15"/>
      <c r="D22" s="15"/>
      <c r="E22" s="16"/>
      <c r="G22" s="17"/>
    </row>
    <row r="23" ht="21.75" customHeight="1">
      <c r="B23" s="18" t="s">
        <v>227</v>
      </c>
      <c r="C23" s="30"/>
      <c r="D23" s="30"/>
      <c r="E23" s="30"/>
      <c r="G23" s="52" t="s">
        <v>219</v>
      </c>
    </row>
    <row r="24" ht="21.75" customHeight="1">
      <c r="B24" s="18" t="s">
        <v>228</v>
      </c>
      <c r="C24" s="30"/>
      <c r="D24" s="30"/>
      <c r="E24" s="30"/>
      <c r="G24" s="52" t="s">
        <v>219</v>
      </c>
    </row>
    <row r="25" ht="21.75" customHeight="1">
      <c r="B25" s="18" t="s">
        <v>229</v>
      </c>
      <c r="C25" s="30"/>
      <c r="D25" s="30"/>
      <c r="E25" s="30"/>
      <c r="G25" s="52" t="str">
        <f>IF(AND(SEXO="Masculino",PERFIL="Deportista"),"&gt;0.65 🟢",IF(SEXO="Masculino","&gt;0.60 🟢",IF(PERFIL="Deportista","&gt;0.60 🟢","&gt;0.55 🟢")))</f>
        <v>&gt;0.55 🟢</v>
      </c>
    </row>
    <row r="26" ht="21.75" customHeight="1">
      <c r="B26" s="18" t="s">
        <v>230</v>
      </c>
      <c r="C26" s="30"/>
      <c r="D26" s="30"/>
      <c r="E26" s="30"/>
      <c r="G26" s="52" t="str">
        <f>IF(AND(SEXO="Masculino",PERFIL="Deportista"),"&gt;0.65 🟢",IF(SEXO="Masculino","&gt;0.60 🟢",IF(PERFIL="Deportista","&gt;0.60 🟢","&gt;0.55 🟢")))</f>
        <v>&gt;0.55 🟢</v>
      </c>
    </row>
    <row r="27" ht="21.75" customHeight="1">
      <c r="B27" s="18" t="s">
        <v>231</v>
      </c>
      <c r="C27" s="30"/>
      <c r="D27" s="30"/>
      <c r="E27" s="30"/>
      <c r="G27" s="52" t="s">
        <v>232</v>
      </c>
    </row>
    <row r="28" ht="21.75" customHeight="1">
      <c r="B28" s="18" t="s">
        <v>233</v>
      </c>
      <c r="C28" s="30"/>
      <c r="D28" s="30"/>
      <c r="E28" s="30"/>
      <c r="G28" s="52" t="s">
        <v>232</v>
      </c>
    </row>
    <row r="29" ht="9.75" customHeight="1"/>
    <row r="30" ht="21.75" customHeight="1">
      <c r="B30" s="31" t="s">
        <v>234</v>
      </c>
      <c r="C30" s="15"/>
      <c r="D30" s="15"/>
      <c r="E30" s="15"/>
      <c r="F30" s="15"/>
      <c r="G30" s="16"/>
    </row>
    <row r="31" ht="30.0" customHeight="1">
      <c r="B31" s="53" t="s">
        <v>235</v>
      </c>
      <c r="C31" s="30"/>
      <c r="D31" s="54" t="s">
        <v>236</v>
      </c>
      <c r="E31" s="30"/>
      <c r="F31" s="55"/>
      <c r="G31" s="56" t="s">
        <v>237</v>
      </c>
    </row>
    <row r="32" ht="30.0" customHeight="1">
      <c r="B32" s="53" t="s">
        <v>238</v>
      </c>
      <c r="C32" s="30"/>
      <c r="D32" s="54" t="s">
        <v>236</v>
      </c>
      <c r="E32" s="30"/>
      <c r="F32" s="55"/>
      <c r="G32" s="56" t="s">
        <v>239</v>
      </c>
    </row>
    <row r="33" ht="30.0" customHeight="1">
      <c r="B33" s="53" t="s">
        <v>240</v>
      </c>
      <c r="C33" s="30"/>
      <c r="D33" s="54" t="s">
        <v>236</v>
      </c>
      <c r="E33" s="30"/>
      <c r="F33" s="55"/>
      <c r="G33" s="56" t="s">
        <v>241</v>
      </c>
    </row>
    <row r="34" ht="30.0" customHeight="1">
      <c r="B34" s="53" t="s">
        <v>242</v>
      </c>
      <c r="C34" s="30"/>
      <c r="D34" s="54" t="s">
        <v>236</v>
      </c>
      <c r="E34" s="30"/>
      <c r="F34" s="55"/>
      <c r="G34" s="56" t="s">
        <v>243</v>
      </c>
    </row>
    <row r="35" ht="30.0" customHeight="1">
      <c r="B35" s="53" t="s">
        <v>244</v>
      </c>
      <c r="C35" s="30"/>
      <c r="D35" s="54" t="s">
        <v>236</v>
      </c>
      <c r="E35" s="30"/>
      <c r="F35" s="55"/>
      <c r="G35" s="56" t="s">
        <v>245</v>
      </c>
    </row>
    <row r="36" ht="7.5" customHeight="1"/>
    <row r="37" ht="19.5" customHeight="1">
      <c r="B37" s="14" t="s">
        <v>246</v>
      </c>
      <c r="C37" s="15"/>
      <c r="D37" s="15"/>
      <c r="E37" s="15"/>
      <c r="F37" s="15"/>
      <c r="G37" s="16"/>
    </row>
    <row r="38" ht="24.0" customHeight="1">
      <c r="B38" s="57"/>
      <c r="C38" s="58"/>
      <c r="D38" s="58"/>
      <c r="E38" s="58"/>
      <c r="F38" s="58"/>
      <c r="G38" s="59"/>
    </row>
    <row r="39" ht="24.0" customHeight="1">
      <c r="B39" s="60"/>
      <c r="G39" s="61"/>
    </row>
    <row r="40" ht="24.0" customHeight="1">
      <c r="B40" s="60"/>
      <c r="G40" s="61"/>
    </row>
    <row r="41" ht="24.0" customHeight="1">
      <c r="B41" s="60"/>
      <c r="G41" s="61"/>
    </row>
    <row r="42" ht="24.0" customHeight="1">
      <c r="B42" s="62"/>
      <c r="C42" s="63"/>
      <c r="D42" s="63"/>
      <c r="E42" s="63"/>
      <c r="F42" s="63"/>
      <c r="G42" s="64"/>
    </row>
    <row r="43" ht="6.0" customHeight="1"/>
    <row r="44" ht="25.5" customHeight="1">
      <c r="B44" s="25" t="s">
        <v>247</v>
      </c>
      <c r="C44" s="15"/>
      <c r="D44" s="15"/>
      <c r="E44" s="15"/>
      <c r="F44" s="15"/>
      <c r="G44" s="1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37:G37"/>
    <mergeCell ref="B38:G42"/>
    <mergeCell ref="B44:G44"/>
    <mergeCell ref="B2:G2"/>
    <mergeCell ref="B3:G3"/>
    <mergeCell ref="B7:E7"/>
    <mergeCell ref="B12:E12"/>
    <mergeCell ref="B17:E17"/>
    <mergeCell ref="B22:E22"/>
    <mergeCell ref="B30:G30"/>
  </mergeCells>
  <dataValidations>
    <dataValidation type="list" allowBlank="1" sqref="C31:C35">
      <formula1>"🟢 Sin déficit,🟡 Déficit leve,🟠 Déficit moderado,🔴 Déficit significativo"</formula1>
    </dataValidation>
    <dataValidation type="list" allowBlank="1" sqref="E31:E35">
      <formula1>"Alta,Media,Baja,No evaluado"</formula1>
    </dataValidation>
  </dataValidations>
  <printOptions/>
  <pageMargins bottom="1.0" footer="0.0" header="0.0" left="0.5" right="0.5" top="1.0"/>
  <pageSetup orientation="landscape"/>
  <drawing r:id="rId1"/>
</worksheet>
</file>